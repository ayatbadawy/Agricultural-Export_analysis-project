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ata analysis\semi final project-Ayat badawy\"/>
    </mc:Choice>
  </mc:AlternateContent>
  <xr:revisionPtr revIDLastSave="0" documentId="13_ncr:1_{55BB7D55-4189-4A41-A89D-8D560C7C24BD}" xr6:coauthVersionLast="47" xr6:coauthVersionMax="47" xr10:uidLastSave="{00000000-0000-0000-0000-000000000000}"/>
  <bookViews>
    <workbookView xWindow="-120" yWindow="-120" windowWidth="20730" windowHeight="11160" firstSheet="1" activeTab="3" xr2:uid="{00000000-000D-0000-FFFF-FFFF00000000}"/>
  </bookViews>
  <sheets>
    <sheet name="Agricultural_Exports data" sheetId="1" r:id="rId1"/>
    <sheet name="cleaning data" sheetId="2" r:id="rId2"/>
    <sheet name="pivot table" sheetId="3" r:id="rId3"/>
    <sheet name="dash board" sheetId="4" r:id="rId4"/>
  </sheets>
  <definedNames>
    <definedName name="_xlcn.WorksheetConnection_Agricultural_Exports_Project.xlsxexports1" hidden="1">exports[]</definedName>
    <definedName name="ExternalData_1" localSheetId="1" hidden="1">'cleaning data'!$A$1:$J$301</definedName>
    <definedName name="Slicer_Destination_Country">#N/A</definedName>
    <definedName name="Slicer_Product">#N/A</definedName>
    <definedName name="Slicer_Transport_Type">#N/A</definedName>
    <definedName name="Slicer_Year">#N/A</definedName>
  </definedNames>
  <calcPr calcId="18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xports" name="exports" connection="WorksheetConnection_Agricultural_Exports_Project.xlsx!exports"/>
        </x15:modelTables>
      </x15:dataModel>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997412-1282-41C3-AE44-C09FEF5E4CE2}" keepAlive="1" name="Query - exports" description="Connection to the 'exports' query in the workbook." type="5" refreshedVersion="8" background="1" saveData="1">
    <dbPr connection="Provider=Microsoft.Mashup.OleDb.1;Data Source=$Workbook$;Location=exports;Extended Properties=&quot;&quot;" command="SELECT * FROM [exports]"/>
  </connection>
  <connection id="2" xr16:uid="{077FD8CA-0BCC-409A-A482-B70F48FDF8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F690727-9E5D-4879-835F-AF01272A5D4D}" name="WorksheetConnection_Agricultural_Exports_Project.xlsx!exports" type="102" refreshedVersion="8" minRefreshableVersion="5">
    <extLst>
      <ext xmlns:x15="http://schemas.microsoft.com/office/spreadsheetml/2010/11/main" uri="{DE250136-89BD-433C-8126-D09CA5730AF9}">
        <x15:connection id="exports" autoDelete="1">
          <x15:rangePr sourceName="_xlcn.WorksheetConnection_Agricultural_Exports_Project.xlsxexports1"/>
        </x15:connection>
      </ext>
    </extLst>
  </connection>
</connections>
</file>

<file path=xl/sharedStrings.xml><?xml version="1.0" encoding="utf-8"?>
<sst xmlns="http://schemas.openxmlformats.org/spreadsheetml/2006/main" count="1871" uniqueCount="40">
  <si>
    <t>Year</t>
  </si>
  <si>
    <t>Product</t>
  </si>
  <si>
    <t>Destination_Country</t>
  </si>
  <si>
    <t>Quantity_Tons</t>
  </si>
  <si>
    <t>Export_Value_USD</t>
  </si>
  <si>
    <t>Export_Cost_USD</t>
  </si>
  <si>
    <t>Transport_Type</t>
  </si>
  <si>
    <t>Oranges</t>
  </si>
  <si>
    <t>UK</t>
  </si>
  <si>
    <t>Land</t>
  </si>
  <si>
    <t>Strawberries</t>
  </si>
  <si>
    <t>France</t>
  </si>
  <si>
    <t>Grapes</t>
  </si>
  <si>
    <t>Air</t>
  </si>
  <si>
    <t>Netherlands</t>
  </si>
  <si>
    <t>Sea</t>
  </si>
  <si>
    <t>Tomatoes</t>
  </si>
  <si>
    <t>Onions</t>
  </si>
  <si>
    <t>Italy</t>
  </si>
  <si>
    <t>Germany</t>
  </si>
  <si>
    <t>UAE</t>
  </si>
  <si>
    <t>Spain</t>
  </si>
  <si>
    <t>Potatoes</t>
  </si>
  <si>
    <t>Saudi Arabia</t>
  </si>
  <si>
    <t>Russia</t>
  </si>
  <si>
    <t>total profit</t>
  </si>
  <si>
    <t>revenue per ton</t>
  </si>
  <si>
    <t>cost per ton</t>
  </si>
  <si>
    <t>Sum of Quantity_Tons</t>
  </si>
  <si>
    <t>Sum of total profit</t>
  </si>
  <si>
    <t>Average of revenue per ton</t>
  </si>
  <si>
    <t>Average of cost per ton</t>
  </si>
  <si>
    <t>Row Labels</t>
  </si>
  <si>
    <t>Grand Total</t>
  </si>
  <si>
    <t>total  Quantity(Tons)</t>
  </si>
  <si>
    <t>total  Export Value</t>
  </si>
  <si>
    <t>total  Export Cost</t>
  </si>
  <si>
    <t xml:space="preserve"> total profit</t>
  </si>
  <si>
    <t>Average  revenue per ton</t>
  </si>
  <si>
    <t>Average  cost per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</si>
</sst>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quot;$&quot;#,##0.00;[Red]&quot;$&quot;#,##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pivotButton="1"/>
    <xf numFmtId="164" fontId="0" fillId="0" borderId="0" xfId="0" applyNumberFormat="1"/>
    <xf numFmtId="165" fontId="0" fillId="0" borderId="0" xfId="0" applyNumberFormat="1"/>
    <xf numFmtId="0" fontId="0" fillId="0" borderId="0" xfId="0" applyAlignment="1">
      <alignment horizontal="left"/>
    </xf>
  </cellXfs>
  <cellStyles count="1">
    <cellStyle name="Normal" xfId="0" builtinId="0"/>
  </cellStyles>
  <dxfs count="23">
    <dxf>
      <numFmt numFmtId="165" formatCode="&quot;$&quot;#,##0.00;[Red]&quot;$&quot;#,##0.00"/>
    </dxf>
    <dxf>
      <numFmt numFmtId="165" formatCode="&quot;$&quot;#,##0.00;[Red]&quot;$&quot;#,##0.00"/>
    </dxf>
    <dxf>
      <numFmt numFmtId="164" formatCode="#,##0.00;[Red]#,##0.00"/>
    </dxf>
    <dxf>
      <numFmt numFmtId="165" formatCode="&quot;$&quot;#,##0.00;[Red]&quot;$&quot;#,##0.00"/>
    </dxf>
    <dxf>
      <numFmt numFmtId="164" formatCode="#,##0.00;[Red]#,##0.00"/>
    </dxf>
    <dxf>
      <numFmt numFmtId="165" formatCode="&quot;$&quot;#,##0.00;[Red]&quot;$&quot;#,##0.00"/>
    </dxf>
    <dxf>
      <numFmt numFmtId="165" formatCode="&quot;$&quot;#,##0.00;[Red]&quot;$&quot;#,##0.00"/>
    </dxf>
    <dxf>
      <numFmt numFmtId="165" formatCode="&quot;$&quot;#,##0.00;[Red]&quot;$&quot;#,##0.00"/>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colors>
    <mruColors>
      <color rgb="FF5868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[Agricultural_Export_analysis-dashboard.xlsx]pivot table!PivotTable4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by transport type</a:t>
            </a:r>
          </a:p>
        </c:rich>
      </c:tx>
      <c:layout>
        <c:manualLayout>
          <c:xMode val="edge"/>
          <c:yMode val="edge"/>
          <c:x val="0.15168048072938251"/>
          <c:y val="8.50896988391914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FD-4585-868B-7C50F3FD77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FD-4585-868B-7C50F3FD77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FD-4585-868B-7C50F3FD77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table'!$I$4:$I$7</c:f>
              <c:strCache>
                <c:ptCount val="3"/>
                <c:pt idx="0">
                  <c:v>Air</c:v>
                </c:pt>
                <c:pt idx="1">
                  <c:v>Land</c:v>
                </c:pt>
                <c:pt idx="2">
                  <c:v>Sea</c:v>
                </c:pt>
              </c:strCache>
            </c:strRef>
          </c:cat>
          <c:val>
            <c:numRef>
              <c:f>'pivot table'!$J$4:$J$7</c:f>
              <c:numCache>
                <c:formatCode>"$"#,##0.00;[Red]"$"#,##0.00</c:formatCode>
                <c:ptCount val="3"/>
                <c:pt idx="0">
                  <c:v>90526</c:v>
                </c:pt>
                <c:pt idx="1">
                  <c:v>123916</c:v>
                </c:pt>
                <c:pt idx="2">
                  <c:v>117417</c:v>
                </c:pt>
              </c:numCache>
            </c:numRef>
          </c:val>
          <c:extLst>
            <c:ext xmlns:c16="http://schemas.microsoft.com/office/drawing/2014/chart" uri="{C3380CC4-5D6E-409C-BE32-E72D297353CC}">
              <c16:uniqueId val="{00000006-E5FD-4585-868B-7C50F3FD77E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[Agricultural_Export_analysis-dashboard.xlsx]pivot table!PivotTable6</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table'!$M$3</c:f>
              <c:strCache>
                <c:ptCount val="1"/>
                <c:pt idx="0">
                  <c:v>Total</c:v>
                </c:pt>
              </c:strCache>
            </c:strRef>
          </c:tx>
          <c:spPr>
            <a:solidFill>
              <a:schemeClr val="accent1"/>
            </a:solidFill>
            <a:ln>
              <a:noFill/>
            </a:ln>
            <a:effectLst/>
            <a:sp3d/>
          </c:spPr>
          <c:invertIfNegative val="0"/>
          <c:cat>
            <c:strRef>
              <c:f>'pivot table'!$L$4:$L$10</c:f>
              <c:strCache>
                <c:ptCount val="6"/>
                <c:pt idx="0">
                  <c:v>Grapes</c:v>
                </c:pt>
                <c:pt idx="1">
                  <c:v>Onions</c:v>
                </c:pt>
                <c:pt idx="2">
                  <c:v>Oranges</c:v>
                </c:pt>
                <c:pt idx="3">
                  <c:v>Potatoes</c:v>
                </c:pt>
                <c:pt idx="4">
                  <c:v>Strawberries</c:v>
                </c:pt>
                <c:pt idx="5">
                  <c:v>Tomatoes</c:v>
                </c:pt>
              </c:strCache>
            </c:strRef>
          </c:cat>
          <c:val>
            <c:numRef>
              <c:f>'pivot table'!$M$4:$M$10</c:f>
              <c:numCache>
                <c:formatCode>"$"#,##0.00;[Red]"$"#,##0.00</c:formatCode>
                <c:ptCount val="6"/>
                <c:pt idx="0">
                  <c:v>8698224</c:v>
                </c:pt>
                <c:pt idx="1">
                  <c:v>9284278</c:v>
                </c:pt>
                <c:pt idx="2">
                  <c:v>8833023</c:v>
                </c:pt>
                <c:pt idx="3">
                  <c:v>7227328</c:v>
                </c:pt>
                <c:pt idx="4">
                  <c:v>10829269</c:v>
                </c:pt>
                <c:pt idx="5">
                  <c:v>9883313</c:v>
                </c:pt>
              </c:numCache>
            </c:numRef>
          </c:val>
          <c:extLst>
            <c:ext xmlns:c16="http://schemas.microsoft.com/office/drawing/2014/chart" uri="{C3380CC4-5D6E-409C-BE32-E72D297353CC}">
              <c16:uniqueId val="{00000000-9C0A-4783-8CC9-D44E8CB7DD61}"/>
            </c:ext>
          </c:extLst>
        </c:ser>
        <c:dLbls>
          <c:showLegendKey val="0"/>
          <c:showVal val="0"/>
          <c:showCatName val="0"/>
          <c:showSerName val="0"/>
          <c:showPercent val="0"/>
          <c:showBubbleSize val="0"/>
        </c:dLbls>
        <c:gapWidth val="150"/>
        <c:shape val="box"/>
        <c:axId val="347634800"/>
        <c:axId val="347635160"/>
        <c:axId val="0"/>
      </c:bar3DChart>
      <c:catAx>
        <c:axId val="347634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35160"/>
        <c:crosses val="autoZero"/>
        <c:auto val="1"/>
        <c:lblAlgn val="ctr"/>
        <c:lblOffset val="100"/>
        <c:noMultiLvlLbl val="0"/>
      </c:catAx>
      <c:valAx>
        <c:axId val="3476351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3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[Agricultural_Export_analysis-dashboard.xlsx]pivot table!PivotTable1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by Destination</a:t>
            </a:r>
            <a:r>
              <a:rPr lang="en-US" baseline="0"/>
              <a:t> country</a:t>
            </a:r>
            <a:endParaRPr lang="en-US"/>
          </a:p>
        </c:rich>
      </c:tx>
      <c:layout>
        <c:manualLayout>
          <c:xMode val="edge"/>
          <c:yMode val="edge"/>
          <c:x val="0.17507054460049176"/>
          <c:y val="5.10640395302699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table'!$A$4:$A$13</c:f>
              <c:strCache>
                <c:ptCount val="9"/>
                <c:pt idx="0">
                  <c:v>France</c:v>
                </c:pt>
                <c:pt idx="1">
                  <c:v>Germany</c:v>
                </c:pt>
                <c:pt idx="2">
                  <c:v>Italy</c:v>
                </c:pt>
                <c:pt idx="3">
                  <c:v>Netherlands</c:v>
                </c:pt>
                <c:pt idx="4">
                  <c:v>Russia</c:v>
                </c:pt>
                <c:pt idx="5">
                  <c:v>Saudi Arabia</c:v>
                </c:pt>
                <c:pt idx="6">
                  <c:v>Spain</c:v>
                </c:pt>
                <c:pt idx="7">
                  <c:v>UAE</c:v>
                </c:pt>
                <c:pt idx="8">
                  <c:v>UK</c:v>
                </c:pt>
              </c:strCache>
            </c:strRef>
          </c:cat>
          <c:val>
            <c:numRef>
              <c:f>'pivot table'!$B$4:$B$13</c:f>
              <c:numCache>
                <c:formatCode>#,##0.00;[Red]#,##0.00</c:formatCode>
                <c:ptCount val="9"/>
                <c:pt idx="0">
                  <c:v>32904</c:v>
                </c:pt>
                <c:pt idx="1">
                  <c:v>47835</c:v>
                </c:pt>
                <c:pt idx="2">
                  <c:v>39468</c:v>
                </c:pt>
                <c:pt idx="3">
                  <c:v>38646</c:v>
                </c:pt>
                <c:pt idx="4">
                  <c:v>29896</c:v>
                </c:pt>
                <c:pt idx="5">
                  <c:v>39764</c:v>
                </c:pt>
                <c:pt idx="6">
                  <c:v>39986</c:v>
                </c:pt>
                <c:pt idx="7">
                  <c:v>28923</c:v>
                </c:pt>
                <c:pt idx="8">
                  <c:v>34437</c:v>
                </c:pt>
              </c:numCache>
            </c:numRef>
          </c:val>
          <c:extLst>
            <c:ext xmlns:c16="http://schemas.microsoft.com/office/drawing/2014/chart" uri="{C3380CC4-5D6E-409C-BE32-E72D297353CC}">
              <c16:uniqueId val="{00000000-A55D-4C57-8D95-E326DEAB45E2}"/>
            </c:ext>
          </c:extLst>
        </c:ser>
        <c:dLbls>
          <c:showLegendKey val="0"/>
          <c:showVal val="0"/>
          <c:showCatName val="0"/>
          <c:showSerName val="0"/>
          <c:showPercent val="0"/>
          <c:showBubbleSize val="0"/>
        </c:dLbls>
        <c:gapWidth val="150"/>
        <c:overlap val="100"/>
        <c:axId val="703208736"/>
        <c:axId val="703207296"/>
      </c:barChart>
      <c:catAx>
        <c:axId val="70320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207296"/>
        <c:crosses val="autoZero"/>
        <c:auto val="1"/>
        <c:lblAlgn val="ctr"/>
        <c:lblOffset val="100"/>
        <c:noMultiLvlLbl val="0"/>
      </c:catAx>
      <c:valAx>
        <c:axId val="703207296"/>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20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[Agricultural_Export_analysis-dashboard.xlsx]pivot table!PivotTable3</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Average</a:t>
            </a:r>
            <a:r>
              <a:rPr lang="en-US" baseline="0"/>
              <a:t> Revenue,cost,and profit per ton by Product</a:t>
            </a:r>
            <a:endParaRPr lang="en-US"/>
          </a:p>
        </c:rich>
      </c:tx>
      <c:layout>
        <c:manualLayout>
          <c:xMode val="edge"/>
          <c:yMode val="edge"/>
          <c:x val="9.0161321298252356E-2"/>
          <c:y val="1.2578616352201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Average of revenue per ton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table'!$D$4:$D$10</c:f>
              <c:strCache>
                <c:ptCount val="6"/>
                <c:pt idx="0">
                  <c:v>Grapes</c:v>
                </c:pt>
                <c:pt idx="1">
                  <c:v>Onions</c:v>
                </c:pt>
                <c:pt idx="2">
                  <c:v>Oranges</c:v>
                </c:pt>
                <c:pt idx="3">
                  <c:v>Potatoes</c:v>
                </c:pt>
                <c:pt idx="4">
                  <c:v>Strawberries</c:v>
                </c:pt>
                <c:pt idx="5">
                  <c:v>Tomatoes</c:v>
                </c:pt>
              </c:strCache>
            </c:strRef>
          </c:cat>
          <c:val>
            <c:numRef>
              <c:f>'pivot table'!$E$4:$E$10</c:f>
              <c:numCache>
                <c:formatCode>"$"#,##0.00;[Red]"$"#,##0.00</c:formatCode>
                <c:ptCount val="6"/>
                <c:pt idx="0">
                  <c:v>543.05999999999995</c:v>
                </c:pt>
                <c:pt idx="1">
                  <c:v>542.08695652173913</c:v>
                </c:pt>
                <c:pt idx="2">
                  <c:v>562.52173913043475</c:v>
                </c:pt>
                <c:pt idx="3">
                  <c:v>528.21739130434787</c:v>
                </c:pt>
                <c:pt idx="4">
                  <c:v>550.80357142857144</c:v>
                </c:pt>
                <c:pt idx="5">
                  <c:v>557.60714285714289</c:v>
                </c:pt>
              </c:numCache>
            </c:numRef>
          </c:val>
          <c:smooth val="0"/>
          <c:extLst>
            <c:ext xmlns:c16="http://schemas.microsoft.com/office/drawing/2014/chart" uri="{C3380CC4-5D6E-409C-BE32-E72D297353CC}">
              <c16:uniqueId val="{00000000-BB25-4223-A358-898FA53FF545}"/>
            </c:ext>
          </c:extLst>
        </c:ser>
        <c:ser>
          <c:idx val="1"/>
          <c:order val="1"/>
          <c:tx>
            <c:strRef>
              <c:f>'pivot table'!$F$3</c:f>
              <c:strCache>
                <c:ptCount val="1"/>
                <c:pt idx="0">
                  <c:v>Average of cost per ton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table'!$D$4:$D$10</c:f>
              <c:strCache>
                <c:ptCount val="6"/>
                <c:pt idx="0">
                  <c:v>Grapes</c:v>
                </c:pt>
                <c:pt idx="1">
                  <c:v>Onions</c:v>
                </c:pt>
                <c:pt idx="2">
                  <c:v>Oranges</c:v>
                </c:pt>
                <c:pt idx="3">
                  <c:v>Potatoes</c:v>
                </c:pt>
                <c:pt idx="4">
                  <c:v>Strawberries</c:v>
                </c:pt>
                <c:pt idx="5">
                  <c:v>Tomatoes</c:v>
                </c:pt>
              </c:strCache>
            </c:strRef>
          </c:cat>
          <c:val>
            <c:numRef>
              <c:f>'pivot table'!$F$4:$F$10</c:f>
              <c:numCache>
                <c:formatCode>"$"#,##0.00;[Red]"$"#,##0.00</c:formatCode>
                <c:ptCount val="6"/>
                <c:pt idx="0">
                  <c:v>384.60974800000002</c:v>
                </c:pt>
                <c:pt idx="1">
                  <c:v>376.78990434782605</c:v>
                </c:pt>
                <c:pt idx="2">
                  <c:v>395.16096521739127</c:v>
                </c:pt>
                <c:pt idx="3">
                  <c:v>372.03899565217392</c:v>
                </c:pt>
                <c:pt idx="4">
                  <c:v>381.88919821428573</c:v>
                </c:pt>
                <c:pt idx="5">
                  <c:v>387.50871785714287</c:v>
                </c:pt>
              </c:numCache>
            </c:numRef>
          </c:val>
          <c:smooth val="0"/>
          <c:extLst>
            <c:ext xmlns:c16="http://schemas.microsoft.com/office/drawing/2014/chart" uri="{C3380CC4-5D6E-409C-BE32-E72D297353CC}">
              <c16:uniqueId val="{00000001-BB25-4223-A358-898FA53FF545}"/>
            </c:ext>
          </c:extLst>
        </c:ser>
        <c:dLbls>
          <c:showLegendKey val="0"/>
          <c:showVal val="0"/>
          <c:showCatName val="0"/>
          <c:showSerName val="0"/>
          <c:showPercent val="0"/>
          <c:showBubbleSize val="0"/>
        </c:dLbls>
        <c:marker val="1"/>
        <c:smooth val="0"/>
        <c:axId val="417236376"/>
        <c:axId val="417237096"/>
      </c:lineChart>
      <c:catAx>
        <c:axId val="417236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237096"/>
        <c:crosses val="autoZero"/>
        <c:auto val="1"/>
        <c:lblAlgn val="ctr"/>
        <c:lblOffset val="100"/>
        <c:noMultiLvlLbl val="0"/>
      </c:catAx>
      <c:valAx>
        <c:axId val="417237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236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257175</xdr:colOff>
      <xdr:row>19</xdr:row>
      <xdr:rowOff>180976</xdr:rowOff>
    </xdr:from>
    <xdr:to>
      <xdr:col>10</xdr:col>
      <xdr:colOff>66675</xdr:colOff>
      <xdr:row>30</xdr:row>
      <xdr:rowOff>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F2878E7A-E99B-43CC-B0DA-C1E75D5393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305925" y="3800476"/>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28576</xdr:rowOff>
    </xdr:from>
    <xdr:to>
      <xdr:col>1</xdr:col>
      <xdr:colOff>523875</xdr:colOff>
      <xdr:row>6</xdr:row>
      <xdr:rowOff>47625</xdr:rowOff>
    </xdr:to>
    <mc:AlternateContent xmlns:mc="http://schemas.openxmlformats.org/markup-compatibility/2006" xmlns:a14="http://schemas.microsoft.com/office/drawing/2010/main">
      <mc:Choice Requires="a14">
        <xdr:graphicFrame macro="">
          <xdr:nvGraphicFramePr>
            <xdr:cNvPr id="6" name="Transport_Type">
              <a:extLst>
                <a:ext uri="{FF2B5EF4-FFF2-40B4-BE49-F238E27FC236}">
                  <a16:creationId xmlns:a16="http://schemas.microsoft.com/office/drawing/2014/main" id="{EFA80F9B-7008-47A4-8EC6-08C06D6A3C6F}"/>
                </a:ext>
              </a:extLst>
            </xdr:cNvPr>
            <xdr:cNvGraphicFramePr/>
          </xdr:nvGraphicFramePr>
          <xdr:xfrm>
            <a:off x="0" y="0"/>
            <a:ext cx="0" cy="0"/>
          </xdr:xfrm>
          <a:graphic>
            <a:graphicData uri="http://schemas.microsoft.com/office/drawing/2010/slicer">
              <sle:slicer xmlns:sle="http://schemas.microsoft.com/office/drawing/2010/slicer" name="Transport_Type"/>
            </a:graphicData>
          </a:graphic>
        </xdr:graphicFrame>
      </mc:Choice>
      <mc:Fallback xmlns="">
        <xdr:sp macro="" textlink="">
          <xdr:nvSpPr>
            <xdr:cNvPr id="0" name=""/>
            <xdr:cNvSpPr>
              <a:spLocks noTextEdit="1"/>
            </xdr:cNvSpPr>
          </xdr:nvSpPr>
          <xdr:spPr>
            <a:xfrm>
              <a:off x="0" y="28576"/>
              <a:ext cx="182880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257175</xdr:colOff>
      <xdr:row>0</xdr:row>
      <xdr:rowOff>19050</xdr:rowOff>
    </xdr:from>
    <xdr:to>
      <xdr:col>10</xdr:col>
      <xdr:colOff>66675</xdr:colOff>
      <xdr:row>10</xdr:row>
      <xdr:rowOff>9525</xdr:rowOff>
    </xdr:to>
    <mc:AlternateContent xmlns:mc="http://schemas.openxmlformats.org/markup-compatibility/2006" xmlns:a14="http://schemas.microsoft.com/office/drawing/2010/main">
      <mc:Choice Requires="a14">
        <xdr:graphicFrame macro="">
          <xdr:nvGraphicFramePr>
            <xdr:cNvPr id="8" name="Destination_Country">
              <a:extLst>
                <a:ext uri="{FF2B5EF4-FFF2-40B4-BE49-F238E27FC236}">
                  <a16:creationId xmlns:a16="http://schemas.microsoft.com/office/drawing/2014/main" id="{C2C5CCCF-B010-4BB5-A151-A99540F27F68}"/>
                </a:ext>
              </a:extLst>
            </xdr:cNvPr>
            <xdr:cNvGraphicFramePr/>
          </xdr:nvGraphicFramePr>
          <xdr:xfrm>
            <a:off x="0" y="0"/>
            <a:ext cx="0" cy="0"/>
          </xdr:xfrm>
          <a:graphic>
            <a:graphicData uri="http://schemas.microsoft.com/office/drawing/2010/slicer">
              <sle:slicer xmlns:sle="http://schemas.microsoft.com/office/drawing/2010/slicer" name="Destination_Country"/>
            </a:graphicData>
          </a:graphic>
        </xdr:graphicFrame>
      </mc:Choice>
      <mc:Fallback xmlns="">
        <xdr:sp macro="" textlink="">
          <xdr:nvSpPr>
            <xdr:cNvPr id="0" name=""/>
            <xdr:cNvSpPr>
              <a:spLocks noTextEdit="1"/>
            </xdr:cNvSpPr>
          </xdr:nvSpPr>
          <xdr:spPr>
            <a:xfrm>
              <a:off x="9305925" y="19050"/>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257175</xdr:colOff>
      <xdr:row>10</xdr:row>
      <xdr:rowOff>0</xdr:rowOff>
    </xdr:from>
    <xdr:to>
      <xdr:col>10</xdr:col>
      <xdr:colOff>66675</xdr:colOff>
      <xdr:row>19</xdr:row>
      <xdr:rowOff>171450</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59A8975A-C8FF-4AE0-9B87-D78422F0ED5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305925" y="1905000"/>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47625</xdr:rowOff>
    </xdr:from>
    <xdr:to>
      <xdr:col>1</xdr:col>
      <xdr:colOff>504825</xdr:colOff>
      <xdr:row>19</xdr:row>
      <xdr:rowOff>19050</xdr:rowOff>
    </xdr:to>
    <xdr:graphicFrame macro="">
      <xdr:nvGraphicFramePr>
        <xdr:cNvPr id="5" name="Chart 4">
          <a:extLst>
            <a:ext uri="{FF2B5EF4-FFF2-40B4-BE49-F238E27FC236}">
              <a16:creationId xmlns:a16="http://schemas.microsoft.com/office/drawing/2014/main" id="{1FA563B9-CD19-4CB4-A444-20FA494E2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981075</xdr:colOff>
      <xdr:row>19</xdr:row>
      <xdr:rowOff>38100</xdr:rowOff>
    </xdr:from>
    <xdr:to>
      <xdr:col>5</xdr:col>
      <xdr:colOff>428624</xdr:colOff>
      <xdr:row>29</xdr:row>
      <xdr:rowOff>180975</xdr:rowOff>
    </xdr:to>
    <xdr:graphicFrame macro="">
      <xdr:nvGraphicFramePr>
        <xdr:cNvPr id="11" name="Chart 10">
          <a:extLst>
            <a:ext uri="{FF2B5EF4-FFF2-40B4-BE49-F238E27FC236}">
              <a16:creationId xmlns:a16="http://schemas.microsoft.com/office/drawing/2014/main" id="{B7CE826F-0164-4B91-AE29-529A6BE6D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419101</xdr:colOff>
      <xdr:row>19</xdr:row>
      <xdr:rowOff>28576</xdr:rowOff>
    </xdr:from>
    <xdr:to>
      <xdr:col>8</xdr:col>
      <xdr:colOff>247650</xdr:colOff>
      <xdr:row>29</xdr:row>
      <xdr:rowOff>180976</xdr:rowOff>
    </xdr:to>
    <xdr:graphicFrame macro="">
      <xdr:nvGraphicFramePr>
        <xdr:cNvPr id="15" name="Chart 14">
          <a:extLst>
            <a:ext uri="{FF2B5EF4-FFF2-40B4-BE49-F238E27FC236}">
              <a16:creationId xmlns:a16="http://schemas.microsoft.com/office/drawing/2014/main" id="{9CE9EE55-06D5-453F-8525-8A79F6139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57150</xdr:rowOff>
    </xdr:from>
    <xdr:to>
      <xdr:col>2</xdr:col>
      <xdr:colOff>1095375</xdr:colOff>
      <xdr:row>30</xdr:row>
      <xdr:rowOff>28575</xdr:rowOff>
    </xdr:to>
    <xdr:graphicFrame macro="">
      <xdr:nvGraphicFramePr>
        <xdr:cNvPr id="3" name="Chart 2">
          <a:extLst>
            <a:ext uri="{FF2B5EF4-FFF2-40B4-BE49-F238E27FC236}">
              <a16:creationId xmlns:a16="http://schemas.microsoft.com/office/drawing/2014/main" id="{816A6C7D-3B9A-4732-A9B6-AE4F1B15E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533400</xdr:colOff>
      <xdr:row>0</xdr:row>
      <xdr:rowOff>0</xdr:rowOff>
    </xdr:from>
    <xdr:to>
      <xdr:col>6</xdr:col>
      <xdr:colOff>1000124</xdr:colOff>
      <xdr:row>19</xdr:row>
      <xdr:rowOff>47625</xdr:rowOff>
    </xdr:to>
    <xdr:pic>
      <xdr:nvPicPr>
        <xdr:cNvPr id="7" name="Picture 6">
          <a:extLst>
            <a:ext uri="{FF2B5EF4-FFF2-40B4-BE49-F238E27FC236}">
              <a16:creationId xmlns:a16="http://schemas.microsoft.com/office/drawing/2014/main" id="{9474C042-AE5F-DCEE-966A-386C20DE44F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38325" y="0"/>
          <a:ext cx="5714999" cy="36671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5185183" backgroundQuery="1" createdVersion="8" refreshedVersion="8" minRefreshableVersion="3" recordCount="0" supportSubquery="1" supportAdvancedDrill="1" xr:uid="{5DACE512-7567-45EE-AE52-5C5DDE99B44A}">
  <cacheSource type="external" connectionId="2"/>
  <cacheFields count="2">
    <cacheField name="[Measures].[Sum of Quantity_Tons]" caption="Sum of Quantity_Tons" numFmtId="0" hierarchy="12" level="32767"/>
    <cacheField name="[exports].[Destination_Country].[Destination_Country]" caption="Destination_Country" numFmtId="0" hierarchy="2" level="1">
      <sharedItems count="9">
        <s v="France"/>
        <s v="Germany"/>
        <s v="Italy"/>
        <s v="Netherlands"/>
        <s v="Russia"/>
        <s v="Saudi Arabia"/>
        <s v="Spain"/>
        <s v="UAE"/>
        <s v="UK"/>
      </sharedItems>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1"/>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0"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hidden="1">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5416668" backgroundQuery="1" createdVersion="8" refreshedVersion="8" minRefreshableVersion="3" recordCount="0" supportSubquery="1" supportAdvancedDrill="1" xr:uid="{39AAFDA0-1778-45C5-A310-C0E9615EE6A4}">
  <cacheSource type="external" connectionId="2"/>
  <cacheFields count="2">
    <cacheField name="[Measures].[Average of cost per ton]" caption="Average of cost per ton" numFmtId="0" hierarchy="19" level="32767"/>
    <cacheField name="[exports].[Destination_Country].[Destination_Country]" caption="Destination_Country" numFmtId="0" hierarchy="2" level="1">
      <sharedItems containsSemiMixedTypes="0" containsNonDate="0" containsString="0"/>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1"/>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0"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hidden="1">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hidden="1">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5532406" backgroundQuery="1" createdVersion="8" refreshedVersion="8" minRefreshableVersion="3" recordCount="0" supportSubquery="1" supportAdvancedDrill="1" xr:uid="{4311B405-9DFB-4761-8150-3B987DA352E5}">
  <cacheSource type="external" connectionId="2"/>
  <cacheFields count="2">
    <cacheField name="[Measures].[Average of revenue per ton]" caption="Average of revenue per ton" numFmtId="0" hierarchy="18" level="32767"/>
    <cacheField name="[exports].[Destination_Country].[Destination_Country]" caption="Destination_Country" numFmtId="0" hierarchy="2" level="1">
      <sharedItems containsSemiMixedTypes="0" containsNonDate="0" containsString="0"/>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1"/>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0"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hidden="1">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hidden="1">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5648145" backgroundQuery="1" createdVersion="8" refreshedVersion="8" minRefreshableVersion="3" recordCount="0" supportSubquery="1" supportAdvancedDrill="1" xr:uid="{E08516C3-B4B6-47DE-A0EF-E86952D79143}">
  <cacheSource type="external" connectionId="2"/>
  <cacheFields count="2">
    <cacheField name="[Measures].[Sum of total profit]" caption="Sum of total profit" numFmtId="0" hierarchy="15" level="32767"/>
    <cacheField name="[exports].[Destination_Country].[Destination_Country]" caption="Destination_Country" numFmtId="0" hierarchy="2" level="1">
      <sharedItems containsSemiMixedTypes="0" containsNonDate="0" containsString="0"/>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1"/>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0"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hidden="1">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5763891" backgroundQuery="1" createdVersion="8" refreshedVersion="8" minRefreshableVersion="3" recordCount="0" supportSubquery="1" supportAdvancedDrill="1" xr:uid="{9CD2B690-00D8-40A4-9F07-2C62FE0D76A3}">
  <cacheSource type="external" connectionId="2"/>
  <cacheFields count="2">
    <cacheField name="[Measures].[Sum of Export_Cost_USD]" caption="Sum of Export_Cost_USD" numFmtId="0" hierarchy="14" level="32767"/>
    <cacheField name="[exports].[Destination_Country].[Destination_Country]" caption="Destination_Country" numFmtId="0" hierarchy="2" level="1">
      <sharedItems containsSemiMixedTypes="0" containsNonDate="0" containsString="0"/>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1"/>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0"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hidden="1">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hidden="1">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5995368" backgroundQuery="1" createdVersion="8" refreshedVersion="8" minRefreshableVersion="3" recordCount="0" supportSubquery="1" supportAdvancedDrill="1" xr:uid="{D44F8173-F3F1-43FB-B621-96240CB98BF6}">
  <cacheSource type="external" connectionId="2"/>
  <cacheFields count="2">
    <cacheField name="[Measures].[Sum of Export_Value_USD]" caption="Sum of Export_Value_USD" numFmtId="0" hierarchy="13" level="32767"/>
    <cacheField name="[exports].[Destination_Country].[Destination_Country]" caption="Destination_Country" numFmtId="0" hierarchy="2" level="1">
      <sharedItems containsSemiMixedTypes="0" containsNonDate="0" containsString="0"/>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1"/>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0"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hidden="1">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hidden="1">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6111114" backgroundQuery="1" createdVersion="8" refreshedVersion="8" minRefreshableVersion="3" recordCount="0" supportSubquery="1" supportAdvancedDrill="1" xr:uid="{8DC2F787-0F9A-4B5E-A01A-469DDDA7C7F6}">
  <cacheSource type="external" connectionId="2"/>
  <cacheFields count="2">
    <cacheField name="[Measures].[Sum of Quantity_Tons]" caption="Sum of Quantity_Tons" numFmtId="0" hierarchy="12" level="32767"/>
    <cacheField name="[exports].[Destination_Country].[Destination_Country]" caption="Destination_Country" numFmtId="0" hierarchy="2" level="1">
      <sharedItems containsSemiMixedTypes="0" containsNonDate="0" containsString="0"/>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1"/>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0"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hidden="1">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6342592" backgroundQuery="1" createdVersion="8" refreshedVersion="8" minRefreshableVersion="3" recordCount="0" supportSubquery="1" supportAdvancedDrill="1" xr:uid="{09B9A975-D0C5-44ED-87AA-E219F44D0D62}">
  <cacheSource type="external" connectionId="2"/>
  <cacheFields count="4">
    <cacheField name="[exports].[Product].[Product]" caption="Product" numFmtId="0" hierarchy="1" level="1">
      <sharedItems count="6">
        <s v="Grapes"/>
        <s v="Onions"/>
        <s v="Oranges"/>
        <s v="Potatoes"/>
        <s v="Strawberries"/>
        <s v="Tomatoes"/>
      </sharedItems>
    </cacheField>
    <cacheField name="[Measures].[Average of revenue per ton]" caption="Average of revenue per ton" numFmtId="0" hierarchy="18" level="32767"/>
    <cacheField name="[Measures].[Average of cost per ton]" caption="Average of cost per ton" numFmtId="0" hierarchy="19" level="32767"/>
    <cacheField name="[exports].[Destination_Country].[Destination_Country]" caption="Destination_Country" numFmtId="0" hierarchy="2" level="1">
      <sharedItems containsSemiMixedTypes="0" containsNonDate="0" containsString="0"/>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fieldsUsage count="2">
        <fieldUsage x="-1"/>
        <fieldUsage x="0"/>
      </fieldsUsage>
    </cacheHierarchy>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3"/>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0"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hidden="1">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hidden="1">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6689815" backgroundQuery="1" createdVersion="8" refreshedVersion="8" minRefreshableVersion="3" recordCount="0" supportSubquery="1" supportAdvancedDrill="1" xr:uid="{E7232D8D-C816-45E2-9549-263270121E25}">
  <cacheSource type="external" connectionId="2"/>
  <cacheFields count="2">
    <cacheField name="[exports].[Product].[Product]" caption="Product" numFmtId="0" hierarchy="1" level="1">
      <sharedItems count="6">
        <s v="Grapes"/>
        <s v="Onions"/>
        <s v="Oranges"/>
        <s v="Potatoes"/>
        <s v="Strawberries"/>
        <s v="Tomatoes"/>
      </sharedItems>
    </cacheField>
    <cacheField name="[exports].[Destination_Country].[Destination_Country]" caption="Destination_Country" numFmtId="0" hierarchy="2" level="1">
      <sharedItems containsSemiMixedTypes="0" containsNonDate="0" containsString="0"/>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fieldsUsage count="2">
        <fieldUsage x="-1"/>
        <fieldUsage x="0"/>
      </fieldsUsage>
    </cacheHierarchy>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1"/>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0"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hidden="1">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hidden="1">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7037038" backgroundQuery="1" createdVersion="8" refreshedVersion="8" minRefreshableVersion="3" recordCount="0" supportSubquery="1" supportAdvancedDrill="1" xr:uid="{83A8AC78-D20C-454F-A5E3-3F1FE5B2C5D1}">
  <cacheSource type="external" connectionId="2"/>
  <cacheFields count="3">
    <cacheField name="[Measures].[Sum of Quantity_Tons]" caption="Sum of Quantity_Tons" numFmtId="0" hierarchy="12" level="32767"/>
    <cacheField name="[exports].[Transport_Type].[Transport_Type]" caption="Transport_Type" numFmtId="0" hierarchy="6" level="1">
      <sharedItems count="3">
        <s v="Air"/>
        <s v="Land"/>
        <s v="Sea"/>
      </sharedItems>
    </cacheField>
    <cacheField name="[exports].[Destination_Country].[Destination_Country]" caption="Destination_Country" numFmtId="0" hierarchy="2" level="1">
      <sharedItems containsSemiMixedTypes="0" containsNonDate="0" containsString="0"/>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2"/>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2" memberValueDatatype="130" unbalanced="0">
      <fieldsUsage count="2">
        <fieldUsage x="-1"/>
        <fieldUsage x="1"/>
      </fieldsUsage>
    </cacheHierarchy>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hidden="1">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07.903187384261" backgroundQuery="1" createdVersion="8" refreshedVersion="8" minRefreshableVersion="3" recordCount="0" supportSubquery="1" supportAdvancedDrill="1" xr:uid="{3DDC4A53-7C66-42A1-81E2-4E6E2FD2F261}">
  <cacheSource type="external" connectionId="2"/>
  <cacheFields count="3">
    <cacheField name="[Measures].[Sum of total profit]" caption="Sum of total profit" numFmtId="0" hierarchy="15" level="32767"/>
    <cacheField name="[exports].[Product].[Product]" caption="Product" numFmtId="0" hierarchy="1" level="1">
      <sharedItems count="6">
        <s v="Grapes"/>
        <s v="Onions"/>
        <s v="Oranges"/>
        <s v="Potatoes"/>
        <s v="Strawberries"/>
        <s v="Tomatoes"/>
      </sharedItems>
    </cacheField>
    <cacheField name="[exports].[Destination_Country].[Destination_Country]" caption="Destination_Country" numFmtId="0" hierarchy="2" level="1">
      <sharedItems containsSemiMixedTypes="0" containsNonDate="0" containsString="0"/>
    </cacheField>
  </cacheFields>
  <cacheHierarchies count="24">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fieldsUsage count="2">
        <fieldUsage x="-1"/>
        <fieldUsage x="1"/>
      </fieldsUsage>
    </cacheHierarchy>
    <cacheHierarchy uniqueName="[exports].[Destination_Country]" caption="Destination_Country" attribute="1" defaultMemberUniqueName="[exports].[Destination_Country].[All]" allUniqueName="[exports].[Destination_Country].[All]" dimensionUniqueName="[exports]" displayFolder="" count="2" memberValueDatatype="130" unbalanced="0">
      <fieldsUsage count="2">
        <fieldUsage x="-1"/>
        <fieldUsage x="2"/>
      </fieldsUsage>
    </cacheHierarchy>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0"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0" memberValueDatatype="20" unbalanced="0"/>
    <cacheHierarchy uniqueName="[exports].[cost per ton]" caption="cost per ton" attribute="1" defaultMemberUniqueName="[exports].[cost per ton].[All]" allUniqueName="[exports].[cost per ton].[All]" dimensionUniqueName="[exports]" displayFolder="" count="0"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hidden="1">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exports" count="0" hidden="1">
      <extLst>
        <ext xmlns:x15="http://schemas.microsoft.com/office/spreadsheetml/2010/11/main" uri="{B97F6D7D-B522-45F9-BDA1-12C45D357490}">
          <x15:cacheHierarchy aggregatedColumn="0"/>
        </ext>
      </extLst>
    </cacheHierarchy>
    <cacheHierarchy uniqueName="[Measures].[Count of Destination_Country]" caption="Count of Destination_Country" measure="1" displayFolder="" measureGroup="exports"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exports" count="0" hidden="1">
      <extLst>
        <ext xmlns:x15="http://schemas.microsoft.com/office/spreadsheetml/2010/11/main" uri="{B97F6D7D-B522-45F9-BDA1-12C45D357490}">
          <x15:cacheHierarchy aggregatedColumn="1"/>
        </ext>
      </extLst>
    </cacheHierarchy>
    <cacheHierarchy uniqueName="[Measures].[Count of Quantity_Tons]" caption="Count of Quantity_Tons" measure="1" displayFolder="" measureGroup="exports" count="0" hidden="1">
      <extLst>
        <ext xmlns:x15="http://schemas.microsoft.com/office/spreadsheetml/2010/11/main" uri="{B97F6D7D-B522-45F9-BDA1-12C45D357490}">
          <x15:cacheHierarchy aggregatedColumn="3"/>
        </ext>
      </extLst>
    </cacheHierarchy>
  </cacheHierarchies>
  <kpis count="0"/>
  <dimensions count="2">
    <dimension name="exports" uniqueName="[exports]" caption="exports"/>
    <dimension measure="1" name="Measures" uniqueName="[Measures]" caption="Measures"/>
  </dimensions>
  <measureGroups count="1">
    <measureGroup name="exports" caption="expo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5994.615734490741" backgroundQuery="1" createdVersion="3" refreshedVersion="8" minRefreshableVersion="3" recordCount="0" supportSubquery="1" supportAdvancedDrill="1" xr:uid="{1B6ED56E-EE07-48F9-967A-E87E824561B7}">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exports].[Year]" caption="Year" attribute="1" defaultMemberUniqueName="[exports].[Year].[All]" allUniqueName="[exports].[Year].[All]" dimensionUniqueName="[exports]" displayFolder="" count="2" memberValueDatatype="20" unbalanced="0"/>
    <cacheHierarchy uniqueName="[exports].[Product]" caption="Product" attribute="1" defaultMemberUniqueName="[exports].[Product].[All]" allUniqueName="[exports].[Product].[All]" dimensionUniqueName="[exports]" displayFolder="" count="2" memberValueDatatype="130" unbalanced="0"/>
    <cacheHierarchy uniqueName="[exports].[Destination_Country]" caption="Destination_Country" attribute="1" defaultMemberUniqueName="[exports].[Destination_Country].[All]" allUniqueName="[exports].[Destination_Country].[All]" dimensionUniqueName="[exports]" displayFolder="" count="2" memberValueDatatype="130" unbalanced="0"/>
    <cacheHierarchy uniqueName="[exports].[Quantity_Tons]" caption="Quantity_Tons" attribute="1" defaultMemberUniqueName="[exports].[Quantity_Tons].[All]" allUniqueName="[exports].[Quantity_Tons].[All]" dimensionUniqueName="[exports]" displayFolder="" count="0" memberValueDatatype="20" unbalanced="0"/>
    <cacheHierarchy uniqueName="[exports].[Export_Value_USD]" caption="Export_Value_USD" attribute="1" defaultMemberUniqueName="[exports].[Export_Value_USD].[All]" allUniqueName="[exports].[Export_Value_USD].[All]" dimensionUniqueName="[exports]" displayFolder="" count="0" memberValueDatatype="20" unbalanced="0"/>
    <cacheHierarchy uniqueName="[exports].[Export_Cost_USD]" caption="Export_Cost_USD" attribute="1" defaultMemberUniqueName="[exports].[Export_Cost_USD].[All]" allUniqueName="[exports].[Export_Cost_USD].[All]" dimensionUniqueName="[exports]" displayFolder="" count="0" memberValueDatatype="20" unbalanced="0"/>
    <cacheHierarchy uniqueName="[exports].[Transport_Type]" caption="Transport_Type" attribute="1" defaultMemberUniqueName="[exports].[Transport_Type].[All]" allUniqueName="[exports].[Transport_Type].[All]" dimensionUniqueName="[exports]" displayFolder="" count="2" memberValueDatatype="130" unbalanced="0"/>
    <cacheHierarchy uniqueName="[exports].[total profit]" caption="total profit" attribute="1" defaultMemberUniqueName="[exports].[total profit].[All]" allUniqueName="[exports].[total profit].[All]" dimensionUniqueName="[exports]" displayFolder="" count="0" memberValueDatatype="20" unbalanced="0"/>
    <cacheHierarchy uniqueName="[exports].[revenue per ton]" caption="revenue per ton" attribute="1" defaultMemberUniqueName="[exports].[revenue per ton].[All]" allUniqueName="[exports].[revenue per ton].[All]" dimensionUniqueName="[exports]" displayFolder="" count="2" memberValueDatatype="20" unbalanced="0"/>
    <cacheHierarchy uniqueName="[exports].[cost per ton]" caption="cost per ton" attribute="1" defaultMemberUniqueName="[exports].[cost per ton].[All]" allUniqueName="[exports].[cost per ton].[All]" dimensionUniqueName="[exports]" displayFolder="" count="2" memberValueDatatype="5" unbalanced="0"/>
    <cacheHierarchy uniqueName="[Measures].[__XL_Count exports]" caption="__XL_Count exports" measure="1" displayFolder="" measureGroup="exports" count="0" hidden="1"/>
    <cacheHierarchy uniqueName="[Measures].[__No measures defined]" caption="__No measures defined" measure="1" displayFolder="" count="0" hidden="1"/>
    <cacheHierarchy uniqueName="[Measures].[Sum of Quantity_Tons]" caption="Sum of Quantity_Tons" measure="1" displayFolder="" measureGroup="exports" count="0" hidden="1">
      <extLst>
        <ext xmlns:x15="http://schemas.microsoft.com/office/spreadsheetml/2010/11/main" uri="{B97F6D7D-B522-45F9-BDA1-12C45D357490}">
          <x15:cacheHierarchy aggregatedColumn="3"/>
        </ext>
      </extLst>
    </cacheHierarchy>
    <cacheHierarchy uniqueName="[Measures].[Sum of Export_Value_USD]" caption="Sum of Export_Value_USD" measure="1" displayFolder="" measureGroup="exports" count="0" hidden="1">
      <extLst>
        <ext xmlns:x15="http://schemas.microsoft.com/office/spreadsheetml/2010/11/main" uri="{B97F6D7D-B522-45F9-BDA1-12C45D357490}">
          <x15:cacheHierarchy aggregatedColumn="4"/>
        </ext>
      </extLst>
    </cacheHierarchy>
    <cacheHierarchy uniqueName="[Measures].[Sum of Export_Cost_USD]" caption="Sum of Export_Cost_USD" measure="1" displayFolder="" measureGroup="exports" count="0" hidden="1">
      <extLst>
        <ext xmlns:x15="http://schemas.microsoft.com/office/spreadsheetml/2010/11/main" uri="{B97F6D7D-B522-45F9-BDA1-12C45D357490}">
          <x15:cacheHierarchy aggregatedColumn="5"/>
        </ext>
      </extLst>
    </cacheHierarchy>
    <cacheHierarchy uniqueName="[Measures].[Sum of total profit]" caption="Sum of total profit" measure="1" displayFolder="" measureGroup="exports" count="0" hidden="1">
      <extLst>
        <ext xmlns:x15="http://schemas.microsoft.com/office/spreadsheetml/2010/11/main" uri="{B97F6D7D-B522-45F9-BDA1-12C45D357490}">
          <x15:cacheHierarchy aggregatedColumn="7"/>
        </ext>
      </extLst>
    </cacheHierarchy>
    <cacheHierarchy uniqueName="[Measures].[Sum of revenue per ton]" caption="Sum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Sum of cost per ton]" caption="Sum of cost per ton" measure="1" displayFolder="" measureGroup="exports" count="0" hidden="1">
      <extLst>
        <ext xmlns:x15="http://schemas.microsoft.com/office/spreadsheetml/2010/11/main" uri="{B97F6D7D-B522-45F9-BDA1-12C45D357490}">
          <x15:cacheHierarchy aggregatedColumn="9"/>
        </ext>
      </extLst>
    </cacheHierarchy>
    <cacheHierarchy uniqueName="[Measures].[Average of revenue per ton]" caption="Average of revenue per ton" measure="1" displayFolder="" measureGroup="exports" count="0" hidden="1">
      <extLst>
        <ext xmlns:x15="http://schemas.microsoft.com/office/spreadsheetml/2010/11/main" uri="{B97F6D7D-B522-45F9-BDA1-12C45D357490}">
          <x15:cacheHierarchy aggregatedColumn="8"/>
        </ext>
      </extLst>
    </cacheHierarchy>
    <cacheHierarchy uniqueName="[Measures].[Average of cost per ton]" caption="Average of cost per ton" measure="1" displayFolder="" measureGroup="export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3994456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A5BA7-C62B-43B3-A1AC-EC0E014E8C17}" name="PivotTable1" cacheId="0" applyNumberFormats="0" applyBorderFormats="0" applyFontFormats="0" applyPatternFormats="0" applyAlignmentFormats="0" applyWidthHeightFormats="1" dataCaption="Values" tag="e722d797-2414-4689-a0d6-143167f826c3" updatedVersion="8" minRefreshableVersion="3" useAutoFormatting="1" itemPrintTitles="1" createdVersion="8" indent="0" outline="1" outlineData="1" multipleFieldFilters="0" chartFormat="34">
  <location ref="A3:B13"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Sum of Quantity_Tons" fld="0" baseField="0" baseItem="0" numFmtId="164"/>
  </dataFields>
  <formats count="1">
    <format dxfId="4">
      <pivotArea outline="0" collapsedLevelsAreSubtotals="1" fieldPosition="0"/>
    </format>
  </formats>
  <chartFormats count="5">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259C08-A789-4374-8625-ED6AC337B82E}" name="PivotTable2" cacheId="8" applyNumberFormats="0" applyBorderFormats="0" applyFontFormats="0" applyPatternFormats="0" applyAlignmentFormats="0" applyWidthHeightFormats="1" dataCaption="Values" tag="21661d24-0d1c-4adf-80bb-037cdd9abce7" updatedVersion="8" minRefreshableVersion="3" useAutoFormatting="1" subtotalHiddenItems="1" itemPrintTitles="1" createdVersion="8" indent="0" outline="1" outlineData="1" multipleFieldFilters="0" chartFormat="52">
  <location ref="G3:G10" firstHeaderRow="1" firstDataRow="1" firstDataCol="1"/>
  <pivotFields count="2">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0"/>
  </rowFields>
  <rowItems count="7">
    <i>
      <x/>
    </i>
    <i>
      <x v="1"/>
    </i>
    <i>
      <x v="2"/>
    </i>
    <i>
      <x v="3"/>
    </i>
    <i>
      <x v="4"/>
    </i>
    <i>
      <x v="5"/>
    </i>
    <i t="grand">
      <x/>
    </i>
  </rowItem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CC3C20-F2DC-4D27-9A79-B124494D6672}" name="PivotTable3"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9">
  <location ref="D3:F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Average of revenue per ton" fld="1" subtotal="average" baseField="0" baseItem="0"/>
    <dataField name="Average of cost per ton" fld="2" subtotal="average" baseField="0" baseItem="0"/>
  </dataFields>
  <formats count="1">
    <format dxfId="5">
      <pivotArea outline="0" collapsedLevelsAreSubtotals="1" fieldPosition="0"/>
    </format>
  </formats>
  <chartFormats count="12">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6" format="2"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1"/>
          </reference>
        </references>
      </pivotArea>
    </chartFormat>
    <chartFormat chart="48" format="4"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1"/>
          </reference>
        </references>
      </pivotArea>
    </chartFormat>
  </chartFormat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E5C4D5-51A1-491C-8211-FDEA0785E6F7}" name="PivotTable6"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9">
  <location ref="L3:M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total profit" fld="0" baseField="0" baseItem="0"/>
  </dataFields>
  <formats count="1">
    <format dxfId="6">
      <pivotArea outline="0" collapsedLevelsAreSubtotals="1" fieldPosition="0"/>
    </format>
  </formats>
  <chartFormats count="3">
    <chartFormat chart="20"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D6812A-9248-406E-A601-1910A9B3C6E9}" name="PivotTable4"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I3:J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Quantity_Tons" fld="0" baseField="0" baseItem="0"/>
  </dataFields>
  <formats count="1">
    <format dxfId="7">
      <pivotArea outline="0" collapsedLevelsAreSubtotals="1" fieldPosition="0"/>
    </format>
  </formats>
  <chartFormats count="5">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1" count="1" selected="0">
            <x v="0"/>
          </reference>
        </references>
      </pivotArea>
    </chartFormat>
    <chartFormat chart="28" format="7">
      <pivotArea type="data" outline="0" fieldPosition="0">
        <references count="2">
          <reference field="4294967294" count="1" selected="0">
            <x v="0"/>
          </reference>
          <reference field="1" count="1" selected="0">
            <x v="1"/>
          </reference>
        </references>
      </pivotArea>
    </chartFormat>
    <chartFormat chart="28" format="8">
      <pivotArea type="data" outline="0" fieldPosition="0">
        <references count="2">
          <reference field="4294967294" count="1" selected="0">
            <x v="0"/>
          </reference>
          <reference field="1" count="1" selected="0">
            <x v="2"/>
          </reference>
        </references>
      </pivotArea>
    </chartFormat>
  </chartFormat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F6F9B7-5B0C-424B-8050-39B906B71A64}"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xport Cost" fld="0" baseField="0" baseItem="0" numFmtId="165"/>
  </dataField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total  Export Co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D9CCCE-3338-4536-B0BB-6B82003E6A65}" name="PivotTable5"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H10:H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total profit" fld="0" baseField="0" baseItem="0" numFmtId="165"/>
  </dataFields>
  <formats count="1">
    <format dxfId="0">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 total 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333D36-33B4-4932-BFBD-18C2AFAD6A5B}"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3:H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revenue per ton" fld="0" subtotal="average" baseField="0" baseItem="0" numFmtId="165"/>
  </dataFields>
  <formats count="1">
    <format dxfId="1">
      <pivotArea outline="0" collapsedLevelsAreSubtotals="1" fieldPosition="0"/>
    </format>
  </format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revenue per ton"/>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2F4A6E-1D26-4B93-AB68-763A9629C4BE}" name="PivotTable2" cacheId="1" applyNumberFormats="0" applyBorderFormats="0" applyFontFormats="0" applyPatternFormats="0" applyAlignmentFormats="0" applyWidthHeightFormats="1" dataCaption="Values" tag="ef3286e5-1ed7-42bc-8897-870b9f059e6f" updatedVersion="8" minRefreshableVersion="3" useAutoFormatting="1" subtotalHiddenItems="1" itemPrintTitles="1" createdVersion="8" indent="0" outline="1" outlineData="1" multipleFieldFilters="0">
  <location ref="H16:H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cost per ton" fld="0" subtotal="average" baseField="0" baseItem="0" numFmtId="165"/>
  </dataField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cost per to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C16E96-EC9B-4BA2-B88E-36F4FF4FC5DC}"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7:H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Tons)" fld="0" baseField="0" baseItem="0"/>
  </dataFields>
  <formats count="1">
    <format dxfId="2">
      <pivotArea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total  Quantity(T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E2CCD5-7548-4945-BCC4-647F36C79352}"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xport Value" fld="0" baseField="0" baseItem="0" numFmtId="165"/>
  </dataFields>
  <formats count="1">
    <format dxfId="3">
      <pivotArea outline="0" collapsedLevelsAreSubtotals="1" fieldPosition="0"/>
    </format>
  </formats>
  <pivotHierarchies count="24">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total  Export 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icultural_Exports_Project.xlsx!exports">
        <x15:activeTabTopLevelEntity name="[expor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136C0B-43F0-4180-A767-D8FDEAFCBF54}" autoFormatId="16" applyNumberFormats="0" applyBorderFormats="0" applyFontFormats="0" applyPatternFormats="0" applyAlignmentFormats="0" applyWidthHeightFormats="0">
  <queryTableRefresh nextId="11">
    <queryTableFields count="10">
      <queryTableField id="1" name="Year" tableColumnId="11"/>
      <queryTableField id="2" name="Product" tableColumnId="2"/>
      <queryTableField id="3" name="Destination_Country" tableColumnId="3"/>
      <queryTableField id="4" name="Quantity_Tons" tableColumnId="4"/>
      <queryTableField id="5" name="Export_Value_USD" tableColumnId="5"/>
      <queryTableField id="6" name="Export_Cost_USD" tableColumnId="6"/>
      <queryTableField id="7" name="Transport_Type" tableColumnId="7"/>
      <queryTableField id="8" name="total profit" tableColumnId="8"/>
      <queryTableField id="9" name="revenue per ton" tableColumnId="9"/>
      <queryTableField id="10" name="cost per t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9FF5D3-EEC3-43CC-ACEE-BAA86096B364}" sourceName="[exports].[Year]">
  <pivotTables>
    <pivotTable tabId="3" name="PivotTable1"/>
    <pivotTable tabId="4" name="PivotTable2"/>
    <pivotTable tabId="4" name="PivotTable4"/>
    <pivotTable tabId="4" name="PivotTable5"/>
    <pivotTable tabId="4" name="PivotTable6"/>
    <pivotTable tabId="4" name="PivotTable7"/>
    <pivotTable tabId="4" name="PivotTable8"/>
    <pivotTable tabId="3" name="PivotTable3"/>
    <pivotTable tabId="3" name="PivotTable2"/>
    <pivotTable tabId="3" name="PivotTable4"/>
    <pivotTable tabId="3" name="PivotTable6"/>
  </pivotTables>
  <data>
    <olap pivotCacheId="399445625">
      <levels count="2">
        <level uniqueName="[exports].[Year].[(All)]" sourceCaption="(All)" count="0"/>
        <level uniqueName="[exports].[Year].[Year]" sourceCaption="Year" count="6">
          <ranges>
            <range startItem="0">
              <i n="[exports].[Year].&amp;[2018]" c="2018"/>
              <i n="[exports].[Year].&amp;[2019]" c="2019"/>
              <i n="[exports].[Year].&amp;[2020]" c="2020"/>
              <i n="[exports].[Year].&amp;[2021]" c="2021"/>
              <i n="[exports].[Year].&amp;[2022]" c="2022"/>
              <i n="[exports].[Year].&amp;[2023]" c="2023"/>
            </range>
          </ranges>
        </level>
      </levels>
      <selections count="1">
        <selection n="[export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Type" xr10:uid="{12452354-1353-4E39-9918-4CC226A8DC82}" sourceName="[exports].[Transport_Type]">
  <pivotTables>
    <pivotTable tabId="3" name="PivotTable1"/>
    <pivotTable tabId="4" name="PivotTable2"/>
    <pivotTable tabId="4" name="PivotTable4"/>
    <pivotTable tabId="4" name="PivotTable5"/>
    <pivotTable tabId="4" name="PivotTable6"/>
    <pivotTable tabId="4" name="PivotTable7"/>
    <pivotTable tabId="4" name="PivotTable8"/>
    <pivotTable tabId="3" name="PivotTable3"/>
    <pivotTable tabId="3" name="PivotTable2"/>
    <pivotTable tabId="3" name="PivotTable4"/>
    <pivotTable tabId="3" name="PivotTable6"/>
  </pivotTables>
  <data>
    <olap pivotCacheId="399445625">
      <levels count="2">
        <level uniqueName="[exports].[Transport_Type].[(All)]" sourceCaption="(All)" count="0"/>
        <level uniqueName="[exports].[Transport_Type].[Transport_Type]" sourceCaption="Transport_Type" count="3">
          <ranges>
            <range startItem="0">
              <i n="[exports].[Transport_Type].&amp;[Air]" c="Air"/>
              <i n="[exports].[Transport_Type].&amp;[Land]" c="Land"/>
              <i n="[exports].[Transport_Type].&amp;[Sea]" c="Sea"/>
            </range>
          </ranges>
        </level>
      </levels>
      <selections count="1">
        <selection n="[exports].[Transport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ountry" xr10:uid="{FC00ABF2-2842-4CB6-BF6C-11A14801DDEC}" sourceName="[exports].[Destination_Country]">
  <pivotTables>
    <pivotTable tabId="3" name="PivotTable1"/>
    <pivotTable tabId="4" name="PivotTable2"/>
    <pivotTable tabId="4" name="PivotTable4"/>
    <pivotTable tabId="4" name="PivotTable5"/>
    <pivotTable tabId="4" name="PivotTable6"/>
    <pivotTable tabId="4" name="PivotTable7"/>
    <pivotTable tabId="4" name="PivotTable8"/>
    <pivotTable tabId="3" name="PivotTable3"/>
    <pivotTable tabId="3" name="PivotTable2"/>
    <pivotTable tabId="3" name="PivotTable4"/>
    <pivotTable tabId="3" name="PivotTable6"/>
  </pivotTables>
  <data>
    <olap pivotCacheId="399445625">
      <levels count="2">
        <level uniqueName="[exports].[Destination_Country].[(All)]" sourceCaption="(All)" count="0"/>
        <level uniqueName="[exports].[Destination_Country].[Destination_Country]" sourceCaption="Destination_Country" count="9">
          <ranges>
            <range startItem="0">
              <i n="[exports].[Destination_Country].&amp;[France]" c="France"/>
              <i n="[exports].[Destination_Country].&amp;[Germany]" c="Germany"/>
              <i n="[exports].[Destination_Country].&amp;[Italy]" c="Italy"/>
              <i n="[exports].[Destination_Country].&amp;[Netherlands]" c="Netherlands"/>
              <i n="[exports].[Destination_Country].&amp;[Russia]" c="Russia"/>
              <i n="[exports].[Destination_Country].&amp;[Saudi Arabia]" c="Saudi Arabia"/>
              <i n="[exports].[Destination_Country].&amp;[Spain]" c="Spain"/>
              <i n="[exports].[Destination_Country].&amp;[UAE]" c="UAE"/>
              <i n="[exports].[Destination_Country].&amp;[UK]" c="UK"/>
            </range>
          </ranges>
        </level>
      </levels>
      <selections count="1">
        <selection n="[exports].[Destination_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93F0D1A-8841-4CCD-A897-93AD9AA027FB}" sourceName="[exports].[Product]">
  <pivotTables>
    <pivotTable tabId="3" name="PivotTable1"/>
    <pivotTable tabId="4" name="PivotTable2"/>
    <pivotTable tabId="4" name="PivotTable4"/>
    <pivotTable tabId="4" name="PivotTable5"/>
    <pivotTable tabId="4" name="PivotTable6"/>
    <pivotTable tabId="4" name="PivotTable7"/>
    <pivotTable tabId="4" name="PivotTable8"/>
    <pivotTable tabId="3" name="PivotTable3"/>
    <pivotTable tabId="3" name="PivotTable2"/>
    <pivotTable tabId="3" name="PivotTable4"/>
    <pivotTable tabId="3" name="PivotTable6"/>
  </pivotTables>
  <data>
    <olap pivotCacheId="399445625">
      <levels count="2">
        <level uniqueName="[exports].[Product].[(All)]" sourceCaption="(All)" count="0"/>
        <level uniqueName="[exports].[Product].[Product]" sourceCaption="Product" count="6">
          <ranges>
            <range startItem="0">
              <i n="[exports].[Product].&amp;[Grapes]" c="Grapes"/>
              <i n="[exports].[Product].&amp;[Onions]" c="Onions"/>
              <i n="[exports].[Product].&amp;[Oranges]" c="Oranges"/>
              <i n="[exports].[Product].&amp;[Potatoes]" c="Potatoes"/>
              <i n="[exports].[Product].&amp;[Strawberries]" c="Strawberries"/>
              <i n="[exports].[Product].&amp;[Tomatoes]" c="Tomatoes"/>
            </range>
          </ranges>
        </level>
      </levels>
      <selections count="1">
        <selection n="[exports].[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7798250-C77C-4E8B-A8D6-D1A2E6AF820E}" cache="Slicer_Year" caption="Year" level="1" rowHeight="241300"/>
  <slicer name="Transport_Type" xr10:uid="{3B28D28B-2F1C-4809-80BC-C0433DC929CD}" cache="Slicer_Transport_Type" caption="Transport_Type" level="1" rowHeight="241300"/>
  <slicer name="Destination_Country" xr10:uid="{044E18A9-340A-42F7-8AC7-AA6757F2C927}" cache="Slicer_Destination_Country" caption="Destination_Country" level="1" rowHeight="241300"/>
  <slicer name="Product" xr10:uid="{FF43C0D0-668A-4B02-9F11-8A7C72A21A88}" cache="Slicer_Product" caption="Product"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8DD06E-AB20-4A6A-ABA2-2D0B5BB48DAD}" name="Table1" displayName="Table1" ref="A1:J301" totalsRowShown="0" headerRowDxfId="22" dataDxfId="21">
  <autoFilter ref="A1:J301" xr:uid="{458DD06E-AB20-4A6A-ABA2-2D0B5BB48DAD}"/>
  <tableColumns count="10">
    <tableColumn id="1" xr3:uid="{EB620033-2A92-4B30-A1BC-1CC0D7A04F87}" name="Year" dataDxfId="20"/>
    <tableColumn id="2" xr3:uid="{DA805B5E-F169-4800-82F5-14069B7B1B02}" name="Product" dataDxfId="19"/>
    <tableColumn id="3" xr3:uid="{8E791E99-7AE2-4A2A-82FF-BB72CA249604}" name="Destination_Country" dataDxfId="18"/>
    <tableColumn id="4" xr3:uid="{B0CDC67E-5AD7-4C3C-BBE5-6D96355B84FA}" name="Quantity_Tons" dataDxfId="17"/>
    <tableColumn id="5" xr3:uid="{362C5871-0576-4E6E-AC36-A7C89DB731F1}" name="Export_Value_USD" dataDxfId="16"/>
    <tableColumn id="6" xr3:uid="{ECCE753B-7B1C-43A1-97AD-2771EB1FBF4D}" name="Export_Cost_USD" dataDxfId="15"/>
    <tableColumn id="7" xr3:uid="{1209CF37-2529-4E56-81F7-0B68D3F4217C}" name="Transport_Type" dataDxfId="14"/>
    <tableColumn id="8" xr3:uid="{E4108270-D7CA-4369-9F60-DF002927FE00}" name="total profit" dataDxfId="13">
      <calculatedColumnFormula>Table1[[#This Row],[Export_Value_USD]]-Table1[[#This Row],[Export_Cost_USD]]</calculatedColumnFormula>
    </tableColumn>
    <tableColumn id="9" xr3:uid="{BD68E761-D376-4461-918B-BD9434788FDE}" name="revenue per ton" dataDxfId="12">
      <calculatedColumnFormula>Table1[[#This Row],[Export_Value_USD]]/Table1[[#This Row],[Quantity_Tons]]</calculatedColumnFormula>
    </tableColumn>
    <tableColumn id="10" xr3:uid="{CFEAA9FF-0064-40C0-BED3-DE429E043A22}" name="cost per ton" dataDxfId="11">
      <calculatedColumnFormula>Table1[[#This Row],[Export_Cost_USD]]/Table1[[#This Row],[Quantity_Tons]]</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AA757B-3885-43F5-A232-CF26B57AAE94}" name="exports" displayName="exports" ref="A1:J301" tableType="queryTable" totalsRowShown="0">
  <autoFilter ref="A1:J301" xr:uid="{C5AA757B-3885-43F5-A232-CF26B57AAE94}"/>
  <tableColumns count="10">
    <tableColumn id="11" xr3:uid="{9D8A3672-157D-459D-B711-124B5EE1FD56}" uniqueName="11" name="Year" queryTableFieldId="1"/>
    <tableColumn id="2" xr3:uid="{089782A3-235D-487A-AC0C-3C88044BE79B}" uniqueName="2" name="Product" queryTableFieldId="2" dataDxfId="10"/>
    <tableColumn id="3" xr3:uid="{7D25E1B6-AE49-4784-8F5E-41CCE734E452}" uniqueName="3" name="Destination_Country" queryTableFieldId="3" dataDxfId="9"/>
    <tableColumn id="4" xr3:uid="{578AAA2D-47B0-4F63-BAFA-94F874EF19C7}" uniqueName="4" name="Quantity_Tons" queryTableFieldId="4"/>
    <tableColumn id="5" xr3:uid="{95567036-E004-4C22-ABCB-8381FB9CE72B}" uniqueName="5" name="Export_Value_USD" queryTableFieldId="5"/>
    <tableColumn id="6" xr3:uid="{3199B190-1CC4-4E30-8F14-C9A06695231F}" uniqueName="6" name="Export_Cost_USD" queryTableFieldId="6"/>
    <tableColumn id="7" xr3:uid="{DFCFC7FA-AB74-471D-AD19-B8BDABA95F9B}" uniqueName="7" name="Transport_Type" queryTableFieldId="7" dataDxfId="8"/>
    <tableColumn id="8" xr3:uid="{7A01209C-9732-4FBB-9310-957AAC66E87C}" uniqueName="8" name="total profit" queryTableFieldId="8"/>
    <tableColumn id="9" xr3:uid="{5442E5B2-1C2F-4522-9EAE-B116E715934D}" uniqueName="9" name="revenue per ton" queryTableFieldId="9"/>
    <tableColumn id="10" xr3:uid="{ADF441A9-8E60-420C-A1DF-2676FC84B9DD}" uniqueName="10" name="cost per ton"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agricultural export">
      <a:dk1>
        <a:srgbClr val="0F243E"/>
      </a:dk1>
      <a:lt1>
        <a:sysClr val="window" lastClr="FFFFFF"/>
      </a:lt1>
      <a:dk2>
        <a:srgbClr val="595959"/>
      </a:dk2>
      <a:lt2>
        <a:srgbClr val="7F7F7F"/>
      </a:lt2>
      <a:accent1>
        <a:srgbClr val="92D050"/>
      </a:accent1>
      <a:accent2>
        <a:srgbClr val="00B050"/>
      </a:accent2>
      <a:accent3>
        <a:srgbClr val="00007F"/>
      </a:accent3>
      <a:accent4>
        <a:srgbClr val="BDE295"/>
      </a:accent4>
      <a:accent5>
        <a:srgbClr val="17365D"/>
      </a:accent5>
      <a:accent6>
        <a:srgbClr val="BDE295"/>
      </a:accent6>
      <a:hlink>
        <a:srgbClr val="309055"/>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8.xml"/><Relationship Id="rId7"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workbookViewId="0">
      <selection activeCell="C16" sqref="C16"/>
    </sheetView>
  </sheetViews>
  <sheetFormatPr defaultRowHeight="15" x14ac:dyDescent="0.25"/>
  <cols>
    <col min="1" max="1" width="12.42578125" style="1" customWidth="1"/>
    <col min="2" max="2" width="13.140625" style="1" customWidth="1"/>
    <col min="3" max="3" width="21.7109375" style="1" customWidth="1"/>
    <col min="4" max="4" width="20" style="1" customWidth="1"/>
    <col min="5" max="5" width="19.7109375" style="1" customWidth="1"/>
    <col min="6" max="6" width="23.85546875" style="1" customWidth="1"/>
    <col min="7" max="7" width="19" style="1" customWidth="1"/>
    <col min="8" max="8" width="16.42578125" style="1" customWidth="1"/>
    <col min="9" max="9" width="17.7109375" style="1" customWidth="1"/>
    <col min="10" max="10" width="18.140625" style="1" customWidth="1"/>
    <col min="11" max="16384" width="9.140625" style="1"/>
  </cols>
  <sheetData>
    <row r="1" spans="1:10" x14ac:dyDescent="0.25">
      <c r="A1" s="1" t="s">
        <v>0</v>
      </c>
      <c r="B1" s="1" t="s">
        <v>1</v>
      </c>
      <c r="C1" s="1" t="s">
        <v>2</v>
      </c>
      <c r="D1" s="1" t="s">
        <v>3</v>
      </c>
      <c r="E1" s="1" t="s">
        <v>4</v>
      </c>
      <c r="F1" s="1" t="s">
        <v>5</v>
      </c>
      <c r="G1" s="1" t="s">
        <v>6</v>
      </c>
      <c r="H1" s="1" t="s">
        <v>25</v>
      </c>
      <c r="I1" s="1" t="s">
        <v>26</v>
      </c>
      <c r="J1" s="1" t="s">
        <v>27</v>
      </c>
    </row>
    <row r="2" spans="1:10" x14ac:dyDescent="0.25">
      <c r="A2" s="1">
        <v>2019</v>
      </c>
      <c r="B2" s="1" t="s">
        <v>7</v>
      </c>
      <c r="C2" s="1" t="s">
        <v>8</v>
      </c>
      <c r="D2" s="1">
        <v>651</v>
      </c>
      <c r="E2" s="1">
        <v>274722</v>
      </c>
      <c r="F2" s="1">
        <v>207747</v>
      </c>
      <c r="G2" s="1" t="s">
        <v>9</v>
      </c>
      <c r="H2" s="1">
        <f>Table1[[#This Row],[Export_Value_USD]]-Table1[[#This Row],[Export_Cost_USD]]</f>
        <v>66975</v>
      </c>
      <c r="I2" s="1">
        <f>Table1[[#This Row],[Export_Value_USD]]/Table1[[#This Row],[Quantity_Tons]]</f>
        <v>422</v>
      </c>
      <c r="J2" s="1">
        <f>Table1[[#This Row],[Export_Cost_USD]]/Table1[[#This Row],[Quantity_Tons]]</f>
        <v>319.11981566820276</v>
      </c>
    </row>
    <row r="3" spans="1:10" x14ac:dyDescent="0.25">
      <c r="A3" s="1">
        <v>2019</v>
      </c>
      <c r="B3" s="1" t="s">
        <v>10</v>
      </c>
      <c r="C3" s="1" t="s">
        <v>11</v>
      </c>
      <c r="D3" s="1">
        <v>963</v>
      </c>
      <c r="E3" s="1">
        <v>420831</v>
      </c>
      <c r="F3" s="1">
        <v>288373</v>
      </c>
      <c r="G3" s="1" t="s">
        <v>9</v>
      </c>
      <c r="H3" s="1">
        <f>Table1[[#This Row],[Export_Value_USD]]-Table1[[#This Row],[Export_Cost_USD]]</f>
        <v>132458</v>
      </c>
      <c r="I3" s="1">
        <f>Table1[[#This Row],[Export_Value_USD]]/Table1[[#This Row],[Quantity_Tons]]</f>
        <v>437</v>
      </c>
      <c r="J3" s="1">
        <f>Table1[[#This Row],[Export_Cost_USD]]/Table1[[#This Row],[Quantity_Tons]]</f>
        <v>299.45275181723781</v>
      </c>
    </row>
    <row r="4" spans="1:10" x14ac:dyDescent="0.25">
      <c r="A4" s="1">
        <v>2018</v>
      </c>
      <c r="B4" s="1" t="s">
        <v>12</v>
      </c>
      <c r="C4" s="1" t="s">
        <v>8</v>
      </c>
      <c r="D4" s="1">
        <v>519</v>
      </c>
      <c r="E4" s="1">
        <v>353958</v>
      </c>
      <c r="F4" s="1">
        <v>280214</v>
      </c>
      <c r="G4" s="1" t="s">
        <v>13</v>
      </c>
      <c r="H4" s="1">
        <f>Table1[[#This Row],[Export_Value_USD]]-Table1[[#This Row],[Export_Cost_USD]]</f>
        <v>73744</v>
      </c>
      <c r="I4" s="1">
        <f>Table1[[#This Row],[Export_Value_USD]]/Table1[[#This Row],[Quantity_Tons]]</f>
        <v>682</v>
      </c>
      <c r="J4" s="1">
        <f>Table1[[#This Row],[Export_Cost_USD]]/Table1[[#This Row],[Quantity_Tons]]</f>
        <v>539.91136801541427</v>
      </c>
    </row>
    <row r="5" spans="1:10" x14ac:dyDescent="0.25">
      <c r="A5" s="1">
        <v>2022</v>
      </c>
      <c r="B5" s="1" t="s">
        <v>10</v>
      </c>
      <c r="C5" s="1" t="s">
        <v>8</v>
      </c>
      <c r="D5" s="1">
        <v>978</v>
      </c>
      <c r="E5" s="1">
        <v>523230</v>
      </c>
      <c r="F5" s="1">
        <v>334842</v>
      </c>
      <c r="G5" s="1" t="s">
        <v>9</v>
      </c>
      <c r="H5" s="1">
        <f>Table1[[#This Row],[Export_Value_USD]]-Table1[[#This Row],[Export_Cost_USD]]</f>
        <v>188388</v>
      </c>
      <c r="I5" s="1">
        <f>Table1[[#This Row],[Export_Value_USD]]/Table1[[#This Row],[Quantity_Tons]]</f>
        <v>535</v>
      </c>
      <c r="J5" s="1">
        <f>Table1[[#This Row],[Export_Cost_USD]]/Table1[[#This Row],[Quantity_Tons]]</f>
        <v>342.37423312883436</v>
      </c>
    </row>
    <row r="6" spans="1:10" x14ac:dyDescent="0.25">
      <c r="A6" s="1">
        <v>2021</v>
      </c>
      <c r="B6" s="1" t="s">
        <v>7</v>
      </c>
      <c r="C6" s="1" t="s">
        <v>14</v>
      </c>
      <c r="D6" s="1">
        <v>977</v>
      </c>
      <c r="E6" s="1">
        <v>461144</v>
      </c>
      <c r="F6" s="1">
        <v>322658</v>
      </c>
      <c r="G6" s="1" t="s">
        <v>13</v>
      </c>
      <c r="H6" s="1">
        <f>Table1[[#This Row],[Export_Value_USD]]-Table1[[#This Row],[Export_Cost_USD]]</f>
        <v>138486</v>
      </c>
      <c r="I6" s="1">
        <f>Table1[[#This Row],[Export_Value_USD]]/Table1[[#This Row],[Quantity_Tons]]</f>
        <v>472</v>
      </c>
      <c r="J6" s="1">
        <f>Table1[[#This Row],[Export_Cost_USD]]/Table1[[#This Row],[Quantity_Tons]]</f>
        <v>330.25383828045034</v>
      </c>
    </row>
    <row r="7" spans="1:10" x14ac:dyDescent="0.25">
      <c r="A7" s="1">
        <v>2022</v>
      </c>
      <c r="B7" s="1" t="s">
        <v>10</v>
      </c>
      <c r="C7" s="1" t="s">
        <v>8</v>
      </c>
      <c r="D7" s="1">
        <v>1344</v>
      </c>
      <c r="E7" s="1">
        <v>880320</v>
      </c>
      <c r="F7" s="1">
        <v>586078</v>
      </c>
      <c r="G7" s="1" t="s">
        <v>15</v>
      </c>
      <c r="H7" s="1">
        <f>Table1[[#This Row],[Export_Value_USD]]-Table1[[#This Row],[Export_Cost_USD]]</f>
        <v>294242</v>
      </c>
      <c r="I7" s="1">
        <f>Table1[[#This Row],[Export_Value_USD]]/Table1[[#This Row],[Quantity_Tons]]</f>
        <v>655</v>
      </c>
      <c r="J7" s="1">
        <f>Table1[[#This Row],[Export_Cost_USD]]/Table1[[#This Row],[Quantity_Tons]]</f>
        <v>436.06994047619048</v>
      </c>
    </row>
    <row r="8" spans="1:10" x14ac:dyDescent="0.25">
      <c r="A8" s="1">
        <v>2018</v>
      </c>
      <c r="B8" s="1" t="s">
        <v>16</v>
      </c>
      <c r="C8" s="1" t="s">
        <v>8</v>
      </c>
      <c r="D8" s="1">
        <v>826</v>
      </c>
      <c r="E8" s="1">
        <v>567462</v>
      </c>
      <c r="F8" s="1">
        <v>401237</v>
      </c>
      <c r="G8" s="1" t="s">
        <v>9</v>
      </c>
      <c r="H8" s="1">
        <f>Table1[[#This Row],[Export_Value_USD]]-Table1[[#This Row],[Export_Cost_USD]]</f>
        <v>166225</v>
      </c>
      <c r="I8" s="1">
        <f>Table1[[#This Row],[Export_Value_USD]]/Table1[[#This Row],[Quantity_Tons]]</f>
        <v>687</v>
      </c>
      <c r="J8" s="1">
        <f>Table1[[#This Row],[Export_Cost_USD]]/Table1[[#This Row],[Quantity_Tons]]</f>
        <v>485.75907990314772</v>
      </c>
    </row>
    <row r="9" spans="1:10" x14ac:dyDescent="0.25">
      <c r="A9" s="1">
        <v>2021</v>
      </c>
      <c r="B9" s="1" t="s">
        <v>17</v>
      </c>
      <c r="C9" s="1" t="s">
        <v>18</v>
      </c>
      <c r="D9" s="1">
        <v>300</v>
      </c>
      <c r="E9" s="1">
        <v>148200</v>
      </c>
      <c r="F9" s="1">
        <v>114394</v>
      </c>
      <c r="G9" s="1" t="s">
        <v>13</v>
      </c>
      <c r="H9" s="1">
        <f>Table1[[#This Row],[Export_Value_USD]]-Table1[[#This Row],[Export_Cost_USD]]</f>
        <v>33806</v>
      </c>
      <c r="I9" s="1">
        <f>Table1[[#This Row],[Export_Value_USD]]/Table1[[#This Row],[Quantity_Tons]]</f>
        <v>494</v>
      </c>
      <c r="J9" s="1">
        <f>Table1[[#This Row],[Export_Cost_USD]]/Table1[[#This Row],[Quantity_Tons]]</f>
        <v>381.31333333333333</v>
      </c>
    </row>
    <row r="10" spans="1:10" x14ac:dyDescent="0.25">
      <c r="A10" s="1">
        <v>2021</v>
      </c>
      <c r="B10" s="1" t="s">
        <v>17</v>
      </c>
      <c r="C10" s="1" t="s">
        <v>14</v>
      </c>
      <c r="D10" s="1">
        <v>1378</v>
      </c>
      <c r="E10" s="1">
        <v>903968</v>
      </c>
      <c r="F10" s="1">
        <v>630413</v>
      </c>
      <c r="G10" s="1" t="s">
        <v>9</v>
      </c>
      <c r="H10" s="1">
        <f>Table1[[#This Row],[Export_Value_USD]]-Table1[[#This Row],[Export_Cost_USD]]</f>
        <v>273555</v>
      </c>
      <c r="I10" s="1">
        <f>Table1[[#This Row],[Export_Value_USD]]/Table1[[#This Row],[Quantity_Tons]]</f>
        <v>656</v>
      </c>
      <c r="J10" s="1">
        <f>Table1[[#This Row],[Export_Cost_USD]]/Table1[[#This Row],[Quantity_Tons]]</f>
        <v>457.48403483309141</v>
      </c>
    </row>
    <row r="11" spans="1:10" x14ac:dyDescent="0.25">
      <c r="A11" s="1">
        <v>2022</v>
      </c>
      <c r="B11" s="1" t="s">
        <v>7</v>
      </c>
      <c r="C11" s="1" t="s">
        <v>18</v>
      </c>
      <c r="D11" s="1">
        <v>495</v>
      </c>
      <c r="E11" s="1">
        <v>331650</v>
      </c>
      <c r="F11" s="1">
        <v>215090</v>
      </c>
      <c r="G11" s="1" t="s">
        <v>9</v>
      </c>
      <c r="H11" s="1">
        <f>Table1[[#This Row],[Export_Value_USD]]-Table1[[#This Row],[Export_Cost_USD]]</f>
        <v>116560</v>
      </c>
      <c r="I11" s="1">
        <f>Table1[[#This Row],[Export_Value_USD]]/Table1[[#This Row],[Quantity_Tons]]</f>
        <v>670</v>
      </c>
      <c r="J11" s="1">
        <f>Table1[[#This Row],[Export_Cost_USD]]/Table1[[#This Row],[Quantity_Tons]]</f>
        <v>434.52525252525254</v>
      </c>
    </row>
    <row r="12" spans="1:10" x14ac:dyDescent="0.25">
      <c r="A12" s="1">
        <v>2022</v>
      </c>
      <c r="B12" s="1" t="s">
        <v>12</v>
      </c>
      <c r="C12" s="1" t="s">
        <v>19</v>
      </c>
      <c r="D12" s="1">
        <v>805</v>
      </c>
      <c r="E12" s="1">
        <v>516810</v>
      </c>
      <c r="F12" s="1">
        <v>399106</v>
      </c>
      <c r="G12" s="1" t="s">
        <v>13</v>
      </c>
      <c r="H12" s="1">
        <f>Table1[[#This Row],[Export_Value_USD]]-Table1[[#This Row],[Export_Cost_USD]]</f>
        <v>117704</v>
      </c>
      <c r="I12" s="1">
        <f>Table1[[#This Row],[Export_Value_USD]]/Table1[[#This Row],[Quantity_Tons]]</f>
        <v>642</v>
      </c>
      <c r="J12" s="1">
        <f>Table1[[#This Row],[Export_Cost_USD]]/Table1[[#This Row],[Quantity_Tons]]</f>
        <v>495.78385093167702</v>
      </c>
    </row>
    <row r="13" spans="1:10" x14ac:dyDescent="0.25">
      <c r="A13" s="1">
        <v>2020</v>
      </c>
      <c r="B13" s="1" t="s">
        <v>12</v>
      </c>
      <c r="C13" s="1" t="s">
        <v>11</v>
      </c>
      <c r="D13" s="1">
        <v>1414</v>
      </c>
      <c r="E13" s="1">
        <v>599536</v>
      </c>
      <c r="F13" s="1">
        <v>416796</v>
      </c>
      <c r="G13" s="1" t="s">
        <v>9</v>
      </c>
      <c r="H13" s="1">
        <f>Table1[[#This Row],[Export_Value_USD]]-Table1[[#This Row],[Export_Cost_USD]]</f>
        <v>182740</v>
      </c>
      <c r="I13" s="1">
        <f>Table1[[#This Row],[Export_Value_USD]]/Table1[[#This Row],[Quantity_Tons]]</f>
        <v>424</v>
      </c>
      <c r="J13" s="1">
        <f>Table1[[#This Row],[Export_Cost_USD]]/Table1[[#This Row],[Quantity_Tons]]</f>
        <v>294.76379066478074</v>
      </c>
    </row>
    <row r="14" spans="1:10" x14ac:dyDescent="0.25">
      <c r="A14" s="1">
        <v>2018</v>
      </c>
      <c r="B14" s="1" t="s">
        <v>10</v>
      </c>
      <c r="C14" s="1" t="s">
        <v>20</v>
      </c>
      <c r="D14" s="1">
        <v>462</v>
      </c>
      <c r="E14" s="1">
        <v>263340</v>
      </c>
      <c r="F14" s="1">
        <v>167086</v>
      </c>
      <c r="G14" s="1" t="s">
        <v>15</v>
      </c>
      <c r="H14" s="1">
        <f>Table1[[#This Row],[Export_Value_USD]]-Table1[[#This Row],[Export_Cost_USD]]</f>
        <v>96254</v>
      </c>
      <c r="I14" s="1">
        <f>Table1[[#This Row],[Export_Value_USD]]/Table1[[#This Row],[Quantity_Tons]]</f>
        <v>570</v>
      </c>
      <c r="J14" s="1">
        <f>Table1[[#This Row],[Export_Cost_USD]]/Table1[[#This Row],[Quantity_Tons]]</f>
        <v>361.65800865800867</v>
      </c>
    </row>
    <row r="15" spans="1:10" x14ac:dyDescent="0.25">
      <c r="A15" s="1">
        <v>2022</v>
      </c>
      <c r="B15" s="1" t="s">
        <v>17</v>
      </c>
      <c r="C15" s="1" t="s">
        <v>19</v>
      </c>
      <c r="D15" s="1">
        <v>1011</v>
      </c>
      <c r="E15" s="1">
        <v>411477</v>
      </c>
      <c r="F15" s="1">
        <v>249819</v>
      </c>
      <c r="G15" s="1" t="s">
        <v>9</v>
      </c>
      <c r="H15" s="1">
        <f>Table1[[#This Row],[Export_Value_USD]]-Table1[[#This Row],[Export_Cost_USD]]</f>
        <v>161658</v>
      </c>
      <c r="I15" s="1">
        <f>Table1[[#This Row],[Export_Value_USD]]/Table1[[#This Row],[Quantity_Tons]]</f>
        <v>407</v>
      </c>
      <c r="J15" s="1">
        <f>Table1[[#This Row],[Export_Cost_USD]]/Table1[[#This Row],[Quantity_Tons]]</f>
        <v>247.10089020771514</v>
      </c>
    </row>
    <row r="16" spans="1:10" x14ac:dyDescent="0.25">
      <c r="A16" s="1">
        <v>2019</v>
      </c>
      <c r="B16" s="1" t="s">
        <v>12</v>
      </c>
      <c r="C16" s="1" t="s">
        <v>18</v>
      </c>
      <c r="D16" s="1">
        <v>1243</v>
      </c>
      <c r="E16" s="1">
        <v>672463</v>
      </c>
      <c r="F16" s="1">
        <v>529238</v>
      </c>
      <c r="G16" s="1" t="s">
        <v>15</v>
      </c>
      <c r="H16" s="1">
        <f>Table1[[#This Row],[Export_Value_USD]]-Table1[[#This Row],[Export_Cost_USD]]</f>
        <v>143225</v>
      </c>
      <c r="I16" s="1">
        <f>Table1[[#This Row],[Export_Value_USD]]/Table1[[#This Row],[Quantity_Tons]]</f>
        <v>541</v>
      </c>
      <c r="J16" s="1">
        <f>Table1[[#This Row],[Export_Cost_USD]]/Table1[[#This Row],[Quantity_Tons]]</f>
        <v>425.77473853580051</v>
      </c>
    </row>
    <row r="17" spans="1:10" x14ac:dyDescent="0.25">
      <c r="A17" s="1">
        <v>2019</v>
      </c>
      <c r="B17" s="1" t="s">
        <v>16</v>
      </c>
      <c r="C17" s="1" t="s">
        <v>11</v>
      </c>
      <c r="D17" s="1">
        <v>1130</v>
      </c>
      <c r="E17" s="1">
        <v>714160</v>
      </c>
      <c r="F17" s="1">
        <v>564593</v>
      </c>
      <c r="G17" s="1" t="s">
        <v>9</v>
      </c>
      <c r="H17" s="1">
        <f>Table1[[#This Row],[Export_Value_USD]]-Table1[[#This Row],[Export_Cost_USD]]</f>
        <v>149567</v>
      </c>
      <c r="I17" s="1">
        <f>Table1[[#This Row],[Export_Value_USD]]/Table1[[#This Row],[Quantity_Tons]]</f>
        <v>632</v>
      </c>
      <c r="J17" s="1">
        <f>Table1[[#This Row],[Export_Cost_USD]]/Table1[[#This Row],[Quantity_Tons]]</f>
        <v>499.63982300884953</v>
      </c>
    </row>
    <row r="18" spans="1:10" x14ac:dyDescent="0.25">
      <c r="A18" s="1">
        <v>2018</v>
      </c>
      <c r="B18" s="1" t="s">
        <v>12</v>
      </c>
      <c r="C18" s="1" t="s">
        <v>20</v>
      </c>
      <c r="D18" s="1">
        <v>328</v>
      </c>
      <c r="E18" s="1">
        <v>168920</v>
      </c>
      <c r="F18" s="1">
        <v>107272</v>
      </c>
      <c r="G18" s="1" t="s">
        <v>9</v>
      </c>
      <c r="H18" s="1">
        <f>Table1[[#This Row],[Export_Value_USD]]-Table1[[#This Row],[Export_Cost_USD]]</f>
        <v>61648</v>
      </c>
      <c r="I18" s="1">
        <f>Table1[[#This Row],[Export_Value_USD]]/Table1[[#This Row],[Quantity_Tons]]</f>
        <v>515</v>
      </c>
      <c r="J18" s="1">
        <f>Table1[[#This Row],[Export_Cost_USD]]/Table1[[#This Row],[Quantity_Tons]]</f>
        <v>327.04878048780489</v>
      </c>
    </row>
    <row r="19" spans="1:10" x14ac:dyDescent="0.25">
      <c r="A19" s="1">
        <v>2019</v>
      </c>
      <c r="B19" s="1" t="s">
        <v>10</v>
      </c>
      <c r="C19" s="1" t="s">
        <v>18</v>
      </c>
      <c r="D19" s="1">
        <v>1471</v>
      </c>
      <c r="E19" s="1">
        <v>594284</v>
      </c>
      <c r="F19" s="1">
        <v>410053</v>
      </c>
      <c r="G19" s="1" t="s">
        <v>13</v>
      </c>
      <c r="H19" s="1">
        <f>Table1[[#This Row],[Export_Value_USD]]-Table1[[#This Row],[Export_Cost_USD]]</f>
        <v>184231</v>
      </c>
      <c r="I19" s="1">
        <f>Table1[[#This Row],[Export_Value_USD]]/Table1[[#This Row],[Quantity_Tons]]</f>
        <v>404</v>
      </c>
      <c r="J19" s="1">
        <f>Table1[[#This Row],[Export_Cost_USD]]/Table1[[#This Row],[Quantity_Tons]]</f>
        <v>278.75798776342623</v>
      </c>
    </row>
    <row r="20" spans="1:10" x14ac:dyDescent="0.25">
      <c r="A20" s="1">
        <v>2018</v>
      </c>
      <c r="B20" s="1" t="s">
        <v>17</v>
      </c>
      <c r="C20" s="1" t="s">
        <v>20</v>
      </c>
      <c r="D20" s="1">
        <v>1407</v>
      </c>
      <c r="E20" s="1">
        <v>659883</v>
      </c>
      <c r="F20" s="1">
        <v>419908</v>
      </c>
      <c r="G20" s="1" t="s">
        <v>13</v>
      </c>
      <c r="H20" s="1">
        <f>Table1[[#This Row],[Export_Value_USD]]-Table1[[#This Row],[Export_Cost_USD]]</f>
        <v>239975</v>
      </c>
      <c r="I20" s="1">
        <f>Table1[[#This Row],[Export_Value_USD]]/Table1[[#This Row],[Quantity_Tons]]</f>
        <v>469</v>
      </c>
      <c r="J20" s="1">
        <f>Table1[[#This Row],[Export_Cost_USD]]/Table1[[#This Row],[Quantity_Tons]]</f>
        <v>298.44207533759771</v>
      </c>
    </row>
    <row r="21" spans="1:10" x14ac:dyDescent="0.25">
      <c r="A21" s="1">
        <v>2020</v>
      </c>
      <c r="B21" s="1" t="s">
        <v>10</v>
      </c>
      <c r="C21" s="1" t="s">
        <v>14</v>
      </c>
      <c r="D21" s="1">
        <v>822</v>
      </c>
      <c r="E21" s="1">
        <v>443880</v>
      </c>
      <c r="F21" s="1">
        <v>351600</v>
      </c>
      <c r="G21" s="1" t="s">
        <v>15</v>
      </c>
      <c r="H21" s="1">
        <f>Table1[[#This Row],[Export_Value_USD]]-Table1[[#This Row],[Export_Cost_USD]]</f>
        <v>92280</v>
      </c>
      <c r="I21" s="1">
        <f>Table1[[#This Row],[Export_Value_USD]]/Table1[[#This Row],[Quantity_Tons]]</f>
        <v>540</v>
      </c>
      <c r="J21" s="1">
        <f>Table1[[#This Row],[Export_Cost_USD]]/Table1[[#This Row],[Quantity_Tons]]</f>
        <v>427.73722627737226</v>
      </c>
    </row>
    <row r="22" spans="1:10" x14ac:dyDescent="0.25">
      <c r="A22" s="1">
        <v>2023</v>
      </c>
      <c r="B22" s="1" t="s">
        <v>12</v>
      </c>
      <c r="C22" s="1" t="s">
        <v>21</v>
      </c>
      <c r="D22" s="1">
        <v>902</v>
      </c>
      <c r="E22" s="1">
        <v>426646</v>
      </c>
      <c r="F22" s="1">
        <v>298904</v>
      </c>
      <c r="G22" s="1" t="s">
        <v>9</v>
      </c>
      <c r="H22" s="1">
        <f>Table1[[#This Row],[Export_Value_USD]]-Table1[[#This Row],[Export_Cost_USD]]</f>
        <v>127742</v>
      </c>
      <c r="I22" s="1">
        <f>Table1[[#This Row],[Export_Value_USD]]/Table1[[#This Row],[Quantity_Tons]]</f>
        <v>473</v>
      </c>
      <c r="J22" s="1">
        <f>Table1[[#This Row],[Export_Cost_USD]]/Table1[[#This Row],[Quantity_Tons]]</f>
        <v>331.37915742793791</v>
      </c>
    </row>
    <row r="23" spans="1:10" x14ac:dyDescent="0.25">
      <c r="A23" s="1">
        <v>2019</v>
      </c>
      <c r="B23" s="1" t="s">
        <v>16</v>
      </c>
      <c r="C23" s="1" t="s">
        <v>11</v>
      </c>
      <c r="D23" s="1">
        <v>510</v>
      </c>
      <c r="E23" s="1">
        <v>346800</v>
      </c>
      <c r="F23" s="1">
        <v>210081</v>
      </c>
      <c r="G23" s="1" t="s">
        <v>13</v>
      </c>
      <c r="H23" s="1">
        <f>Table1[[#This Row],[Export_Value_USD]]-Table1[[#This Row],[Export_Cost_USD]]</f>
        <v>136719</v>
      </c>
      <c r="I23" s="1">
        <f>Table1[[#This Row],[Export_Value_USD]]/Table1[[#This Row],[Quantity_Tons]]</f>
        <v>680</v>
      </c>
      <c r="J23" s="1">
        <f>Table1[[#This Row],[Export_Cost_USD]]/Table1[[#This Row],[Quantity_Tons]]</f>
        <v>411.92352941176472</v>
      </c>
    </row>
    <row r="24" spans="1:10" x14ac:dyDescent="0.25">
      <c r="A24" s="1">
        <v>2022</v>
      </c>
      <c r="B24" s="1" t="s">
        <v>22</v>
      </c>
      <c r="C24" s="1" t="s">
        <v>14</v>
      </c>
      <c r="D24" s="1">
        <v>1065</v>
      </c>
      <c r="E24" s="1">
        <v>430260</v>
      </c>
      <c r="F24" s="1">
        <v>319450</v>
      </c>
      <c r="G24" s="1" t="s">
        <v>15</v>
      </c>
      <c r="H24" s="1">
        <f>Table1[[#This Row],[Export_Value_USD]]-Table1[[#This Row],[Export_Cost_USD]]</f>
        <v>110810</v>
      </c>
      <c r="I24" s="1">
        <f>Table1[[#This Row],[Export_Value_USD]]/Table1[[#This Row],[Quantity_Tons]]</f>
        <v>404</v>
      </c>
      <c r="J24" s="1">
        <f>Table1[[#This Row],[Export_Cost_USD]]/Table1[[#This Row],[Quantity_Tons]]</f>
        <v>299.95305164319251</v>
      </c>
    </row>
    <row r="25" spans="1:10" x14ac:dyDescent="0.25">
      <c r="A25" s="1">
        <v>2023</v>
      </c>
      <c r="B25" s="1" t="s">
        <v>7</v>
      </c>
      <c r="C25" s="1" t="s">
        <v>21</v>
      </c>
      <c r="D25" s="1">
        <v>1104</v>
      </c>
      <c r="E25" s="1">
        <v>546480</v>
      </c>
      <c r="F25" s="1">
        <v>412160</v>
      </c>
      <c r="G25" s="1" t="s">
        <v>15</v>
      </c>
      <c r="H25" s="1">
        <f>Table1[[#This Row],[Export_Value_USD]]-Table1[[#This Row],[Export_Cost_USD]]</f>
        <v>134320</v>
      </c>
      <c r="I25" s="1">
        <f>Table1[[#This Row],[Export_Value_USD]]/Table1[[#This Row],[Quantity_Tons]]</f>
        <v>495</v>
      </c>
      <c r="J25" s="1">
        <f>Table1[[#This Row],[Export_Cost_USD]]/Table1[[#This Row],[Quantity_Tons]]</f>
        <v>373.33333333333331</v>
      </c>
    </row>
    <row r="26" spans="1:10" x14ac:dyDescent="0.25">
      <c r="A26" s="1">
        <v>2018</v>
      </c>
      <c r="B26" s="1" t="s">
        <v>16</v>
      </c>
      <c r="C26" s="1" t="s">
        <v>19</v>
      </c>
      <c r="D26" s="1">
        <v>1343</v>
      </c>
      <c r="E26" s="1">
        <v>702389</v>
      </c>
      <c r="F26" s="1">
        <v>429836</v>
      </c>
      <c r="G26" s="1" t="s">
        <v>9</v>
      </c>
      <c r="H26" s="1">
        <f>Table1[[#This Row],[Export_Value_USD]]-Table1[[#This Row],[Export_Cost_USD]]</f>
        <v>272553</v>
      </c>
      <c r="I26" s="1">
        <f>Table1[[#This Row],[Export_Value_USD]]/Table1[[#This Row],[Quantity_Tons]]</f>
        <v>523</v>
      </c>
      <c r="J26" s="1">
        <f>Table1[[#This Row],[Export_Cost_USD]]/Table1[[#This Row],[Quantity_Tons]]</f>
        <v>320.05658972449737</v>
      </c>
    </row>
    <row r="27" spans="1:10" x14ac:dyDescent="0.25">
      <c r="A27" s="1">
        <v>2021</v>
      </c>
      <c r="B27" s="1" t="s">
        <v>17</v>
      </c>
      <c r="C27" s="1" t="s">
        <v>20</v>
      </c>
      <c r="D27" s="1">
        <v>764</v>
      </c>
      <c r="E27" s="1">
        <v>498892</v>
      </c>
      <c r="F27" s="1">
        <v>352430</v>
      </c>
      <c r="G27" s="1" t="s">
        <v>9</v>
      </c>
      <c r="H27" s="1">
        <f>Table1[[#This Row],[Export_Value_USD]]-Table1[[#This Row],[Export_Cost_USD]]</f>
        <v>146462</v>
      </c>
      <c r="I27" s="1">
        <f>Table1[[#This Row],[Export_Value_USD]]/Table1[[#This Row],[Quantity_Tons]]</f>
        <v>653</v>
      </c>
      <c r="J27" s="1">
        <f>Table1[[#This Row],[Export_Cost_USD]]/Table1[[#This Row],[Quantity_Tons]]</f>
        <v>461.29581151832463</v>
      </c>
    </row>
    <row r="28" spans="1:10" x14ac:dyDescent="0.25">
      <c r="A28" s="1">
        <v>2018</v>
      </c>
      <c r="B28" s="1" t="s">
        <v>7</v>
      </c>
      <c r="C28" s="1" t="s">
        <v>19</v>
      </c>
      <c r="D28" s="1">
        <v>1200</v>
      </c>
      <c r="E28" s="1">
        <v>748800</v>
      </c>
      <c r="F28" s="1">
        <v>528227</v>
      </c>
      <c r="G28" s="1" t="s">
        <v>15</v>
      </c>
      <c r="H28" s="1">
        <f>Table1[[#This Row],[Export_Value_USD]]-Table1[[#This Row],[Export_Cost_USD]]</f>
        <v>220573</v>
      </c>
      <c r="I28" s="1">
        <f>Table1[[#This Row],[Export_Value_USD]]/Table1[[#This Row],[Quantity_Tons]]</f>
        <v>624</v>
      </c>
      <c r="J28" s="1">
        <f>Table1[[#This Row],[Export_Cost_USD]]/Table1[[#This Row],[Quantity_Tons]]</f>
        <v>440.18916666666667</v>
      </c>
    </row>
    <row r="29" spans="1:10" x14ac:dyDescent="0.25">
      <c r="A29" s="1">
        <v>2022</v>
      </c>
      <c r="B29" s="1" t="s">
        <v>16</v>
      </c>
      <c r="C29" s="1" t="s">
        <v>8</v>
      </c>
      <c r="D29" s="1">
        <v>1312</v>
      </c>
      <c r="E29" s="1">
        <v>860672</v>
      </c>
      <c r="F29" s="1">
        <v>564337</v>
      </c>
      <c r="G29" s="1" t="s">
        <v>15</v>
      </c>
      <c r="H29" s="1">
        <f>Table1[[#This Row],[Export_Value_USD]]-Table1[[#This Row],[Export_Cost_USD]]</f>
        <v>296335</v>
      </c>
      <c r="I29" s="1">
        <f>Table1[[#This Row],[Export_Value_USD]]/Table1[[#This Row],[Quantity_Tons]]</f>
        <v>656</v>
      </c>
      <c r="J29" s="1">
        <f>Table1[[#This Row],[Export_Cost_USD]]/Table1[[#This Row],[Quantity_Tons]]</f>
        <v>430.13490853658539</v>
      </c>
    </row>
    <row r="30" spans="1:10" x14ac:dyDescent="0.25">
      <c r="A30" s="1">
        <v>2019</v>
      </c>
      <c r="B30" s="1" t="s">
        <v>10</v>
      </c>
      <c r="C30" s="1" t="s">
        <v>11</v>
      </c>
      <c r="D30" s="1">
        <v>826</v>
      </c>
      <c r="E30" s="1">
        <v>555898</v>
      </c>
      <c r="F30" s="1">
        <v>398367</v>
      </c>
      <c r="G30" s="1" t="s">
        <v>13</v>
      </c>
      <c r="H30" s="1">
        <f>Table1[[#This Row],[Export_Value_USD]]-Table1[[#This Row],[Export_Cost_USD]]</f>
        <v>157531</v>
      </c>
      <c r="I30" s="1">
        <f>Table1[[#This Row],[Export_Value_USD]]/Table1[[#This Row],[Quantity_Tons]]</f>
        <v>673</v>
      </c>
      <c r="J30" s="1">
        <f>Table1[[#This Row],[Export_Cost_USD]]/Table1[[#This Row],[Quantity_Tons]]</f>
        <v>482.28450363196129</v>
      </c>
    </row>
    <row r="31" spans="1:10" x14ac:dyDescent="0.25">
      <c r="A31" s="1">
        <v>2021</v>
      </c>
      <c r="B31" s="1" t="s">
        <v>12</v>
      </c>
      <c r="C31" s="1" t="s">
        <v>19</v>
      </c>
      <c r="D31" s="1">
        <v>1834</v>
      </c>
      <c r="E31" s="1">
        <v>1248954</v>
      </c>
      <c r="F31" s="1">
        <v>791507</v>
      </c>
      <c r="G31" s="1" t="s">
        <v>15</v>
      </c>
      <c r="H31" s="1">
        <f>Table1[[#This Row],[Export_Value_USD]]-Table1[[#This Row],[Export_Cost_USD]]</f>
        <v>457447</v>
      </c>
      <c r="I31" s="1">
        <f>Table1[[#This Row],[Export_Value_USD]]/Table1[[#This Row],[Quantity_Tons]]</f>
        <v>681</v>
      </c>
      <c r="J31" s="1">
        <f>Table1[[#This Row],[Export_Cost_USD]]/Table1[[#This Row],[Quantity_Tons]]</f>
        <v>431.57415485278079</v>
      </c>
    </row>
    <row r="32" spans="1:10" x14ac:dyDescent="0.25">
      <c r="A32" s="1">
        <v>2021</v>
      </c>
      <c r="B32" s="1" t="s">
        <v>16</v>
      </c>
      <c r="C32" s="1" t="s">
        <v>19</v>
      </c>
      <c r="D32" s="1">
        <v>426</v>
      </c>
      <c r="E32" s="1">
        <v>287124</v>
      </c>
      <c r="F32" s="1">
        <v>205207</v>
      </c>
      <c r="G32" s="1" t="s">
        <v>15</v>
      </c>
      <c r="H32" s="1">
        <f>Table1[[#This Row],[Export_Value_USD]]-Table1[[#This Row],[Export_Cost_USD]]</f>
        <v>81917</v>
      </c>
      <c r="I32" s="1">
        <f>Table1[[#This Row],[Export_Value_USD]]/Table1[[#This Row],[Quantity_Tons]]</f>
        <v>674</v>
      </c>
      <c r="J32" s="1">
        <f>Table1[[#This Row],[Export_Cost_USD]]/Table1[[#This Row],[Quantity_Tons]]</f>
        <v>481.70657276995303</v>
      </c>
    </row>
    <row r="33" spans="1:10" x14ac:dyDescent="0.25">
      <c r="A33" s="1">
        <v>2023</v>
      </c>
      <c r="B33" s="1" t="s">
        <v>12</v>
      </c>
      <c r="C33" s="1" t="s">
        <v>20</v>
      </c>
      <c r="D33" s="1">
        <v>1059</v>
      </c>
      <c r="E33" s="1">
        <v>440544</v>
      </c>
      <c r="F33" s="1">
        <v>281818</v>
      </c>
      <c r="G33" s="1" t="s">
        <v>13</v>
      </c>
      <c r="H33" s="1">
        <f>Table1[[#This Row],[Export_Value_USD]]-Table1[[#This Row],[Export_Cost_USD]]</f>
        <v>158726</v>
      </c>
      <c r="I33" s="1">
        <f>Table1[[#This Row],[Export_Value_USD]]/Table1[[#This Row],[Quantity_Tons]]</f>
        <v>416</v>
      </c>
      <c r="J33" s="1">
        <f>Table1[[#This Row],[Export_Cost_USD]]/Table1[[#This Row],[Quantity_Tons]]</f>
        <v>266.11709159584512</v>
      </c>
    </row>
    <row r="34" spans="1:10" x14ac:dyDescent="0.25">
      <c r="A34" s="1">
        <v>2022</v>
      </c>
      <c r="B34" s="1" t="s">
        <v>17</v>
      </c>
      <c r="C34" s="1" t="s">
        <v>14</v>
      </c>
      <c r="D34" s="1">
        <v>1510</v>
      </c>
      <c r="E34" s="1">
        <v>915060</v>
      </c>
      <c r="F34" s="1">
        <v>623279</v>
      </c>
      <c r="G34" s="1" t="s">
        <v>13</v>
      </c>
      <c r="H34" s="1">
        <f>Table1[[#This Row],[Export_Value_USD]]-Table1[[#This Row],[Export_Cost_USD]]</f>
        <v>291781</v>
      </c>
      <c r="I34" s="1">
        <f>Table1[[#This Row],[Export_Value_USD]]/Table1[[#This Row],[Quantity_Tons]]</f>
        <v>606</v>
      </c>
      <c r="J34" s="1">
        <f>Table1[[#This Row],[Export_Cost_USD]]/Table1[[#This Row],[Quantity_Tons]]</f>
        <v>412.76754966887415</v>
      </c>
    </row>
    <row r="35" spans="1:10" x14ac:dyDescent="0.25">
      <c r="A35" s="1">
        <v>2022</v>
      </c>
      <c r="B35" s="1" t="s">
        <v>17</v>
      </c>
      <c r="C35" s="1" t="s">
        <v>20</v>
      </c>
      <c r="D35" s="1">
        <v>721</v>
      </c>
      <c r="E35" s="1">
        <v>498932</v>
      </c>
      <c r="F35" s="1">
        <v>350075</v>
      </c>
      <c r="G35" s="1" t="s">
        <v>15</v>
      </c>
      <c r="H35" s="1">
        <f>Table1[[#This Row],[Export_Value_USD]]-Table1[[#This Row],[Export_Cost_USD]]</f>
        <v>148857</v>
      </c>
      <c r="I35" s="1">
        <f>Table1[[#This Row],[Export_Value_USD]]/Table1[[#This Row],[Quantity_Tons]]</f>
        <v>692</v>
      </c>
      <c r="J35" s="1">
        <f>Table1[[#This Row],[Export_Cost_USD]]/Table1[[#This Row],[Quantity_Tons]]</f>
        <v>485.54091539528434</v>
      </c>
    </row>
    <row r="36" spans="1:10" x14ac:dyDescent="0.25">
      <c r="A36" s="1">
        <v>2018</v>
      </c>
      <c r="B36" s="1" t="s">
        <v>17</v>
      </c>
      <c r="C36" s="1" t="s">
        <v>8</v>
      </c>
      <c r="D36" s="1">
        <v>1307</v>
      </c>
      <c r="E36" s="1">
        <v>565931</v>
      </c>
      <c r="F36" s="1">
        <v>440407</v>
      </c>
      <c r="G36" s="1" t="s">
        <v>15</v>
      </c>
      <c r="H36" s="1">
        <f>Table1[[#This Row],[Export_Value_USD]]-Table1[[#This Row],[Export_Cost_USD]]</f>
        <v>125524</v>
      </c>
      <c r="I36" s="1">
        <f>Table1[[#This Row],[Export_Value_USD]]/Table1[[#This Row],[Quantity_Tons]]</f>
        <v>433</v>
      </c>
      <c r="J36" s="1">
        <f>Table1[[#This Row],[Export_Cost_USD]]/Table1[[#This Row],[Quantity_Tons]]</f>
        <v>336.9602142310635</v>
      </c>
    </row>
    <row r="37" spans="1:10" x14ac:dyDescent="0.25">
      <c r="A37" s="1">
        <v>2019</v>
      </c>
      <c r="B37" s="1" t="s">
        <v>22</v>
      </c>
      <c r="C37" s="1" t="s">
        <v>23</v>
      </c>
      <c r="D37" s="1">
        <v>1182</v>
      </c>
      <c r="E37" s="1">
        <v>627642</v>
      </c>
      <c r="F37" s="1">
        <v>460653</v>
      </c>
      <c r="G37" s="1" t="s">
        <v>9</v>
      </c>
      <c r="H37" s="1">
        <f>Table1[[#This Row],[Export_Value_USD]]-Table1[[#This Row],[Export_Cost_USD]]</f>
        <v>166989</v>
      </c>
      <c r="I37" s="1">
        <f>Table1[[#This Row],[Export_Value_USD]]/Table1[[#This Row],[Quantity_Tons]]</f>
        <v>531</v>
      </c>
      <c r="J37" s="1">
        <f>Table1[[#This Row],[Export_Cost_USD]]/Table1[[#This Row],[Quantity_Tons]]</f>
        <v>389.7233502538071</v>
      </c>
    </row>
    <row r="38" spans="1:10" x14ac:dyDescent="0.25">
      <c r="A38" s="1">
        <v>2018</v>
      </c>
      <c r="B38" s="1" t="s">
        <v>10</v>
      </c>
      <c r="C38" s="1" t="s">
        <v>19</v>
      </c>
      <c r="D38" s="1">
        <v>1172</v>
      </c>
      <c r="E38" s="1">
        <v>472316</v>
      </c>
      <c r="F38" s="1">
        <v>327326</v>
      </c>
      <c r="G38" s="1" t="s">
        <v>13</v>
      </c>
      <c r="H38" s="1">
        <f>Table1[[#This Row],[Export_Value_USD]]-Table1[[#This Row],[Export_Cost_USD]]</f>
        <v>144990</v>
      </c>
      <c r="I38" s="1">
        <f>Table1[[#This Row],[Export_Value_USD]]/Table1[[#This Row],[Quantity_Tons]]</f>
        <v>403</v>
      </c>
      <c r="J38" s="1">
        <f>Table1[[#This Row],[Export_Cost_USD]]/Table1[[#This Row],[Quantity_Tons]]</f>
        <v>279.28839590443687</v>
      </c>
    </row>
    <row r="39" spans="1:10" x14ac:dyDescent="0.25">
      <c r="A39" s="1">
        <v>2023</v>
      </c>
      <c r="B39" s="1" t="s">
        <v>22</v>
      </c>
      <c r="C39" s="1" t="s">
        <v>20</v>
      </c>
      <c r="D39" s="1">
        <v>1878</v>
      </c>
      <c r="E39" s="1">
        <v>1226334</v>
      </c>
      <c r="F39" s="1">
        <v>903938</v>
      </c>
      <c r="G39" s="1" t="s">
        <v>13</v>
      </c>
      <c r="H39" s="1">
        <f>Table1[[#This Row],[Export_Value_USD]]-Table1[[#This Row],[Export_Cost_USD]]</f>
        <v>322396</v>
      </c>
      <c r="I39" s="1">
        <f>Table1[[#This Row],[Export_Value_USD]]/Table1[[#This Row],[Quantity_Tons]]</f>
        <v>653</v>
      </c>
      <c r="J39" s="1">
        <f>Table1[[#This Row],[Export_Cost_USD]]/Table1[[#This Row],[Quantity_Tons]]</f>
        <v>481.33013844515443</v>
      </c>
    </row>
    <row r="40" spans="1:10" x14ac:dyDescent="0.25">
      <c r="A40" s="1">
        <v>2021</v>
      </c>
      <c r="B40" s="1" t="s">
        <v>12</v>
      </c>
      <c r="C40" s="1" t="s">
        <v>11</v>
      </c>
      <c r="D40" s="1">
        <v>345</v>
      </c>
      <c r="E40" s="1">
        <v>216660</v>
      </c>
      <c r="F40" s="1">
        <v>140096</v>
      </c>
      <c r="G40" s="1" t="s">
        <v>13</v>
      </c>
      <c r="H40" s="1">
        <f>Table1[[#This Row],[Export_Value_USD]]-Table1[[#This Row],[Export_Cost_USD]]</f>
        <v>76564</v>
      </c>
      <c r="I40" s="1">
        <f>Table1[[#This Row],[Export_Value_USD]]/Table1[[#This Row],[Quantity_Tons]]</f>
        <v>628</v>
      </c>
      <c r="J40" s="1">
        <f>Table1[[#This Row],[Export_Cost_USD]]/Table1[[#This Row],[Quantity_Tons]]</f>
        <v>406.07536231884058</v>
      </c>
    </row>
    <row r="41" spans="1:10" x14ac:dyDescent="0.25">
      <c r="A41" s="1">
        <v>2018</v>
      </c>
      <c r="B41" s="1" t="s">
        <v>16</v>
      </c>
      <c r="C41" s="1" t="s">
        <v>14</v>
      </c>
      <c r="D41" s="1">
        <v>762</v>
      </c>
      <c r="E41" s="1">
        <v>330708</v>
      </c>
      <c r="F41" s="1">
        <v>232503</v>
      </c>
      <c r="G41" s="1" t="s">
        <v>15</v>
      </c>
      <c r="H41" s="1">
        <f>Table1[[#This Row],[Export_Value_USD]]-Table1[[#This Row],[Export_Cost_USD]]</f>
        <v>98205</v>
      </c>
      <c r="I41" s="1">
        <f>Table1[[#This Row],[Export_Value_USD]]/Table1[[#This Row],[Quantity_Tons]]</f>
        <v>434</v>
      </c>
      <c r="J41" s="1">
        <f>Table1[[#This Row],[Export_Cost_USD]]/Table1[[#This Row],[Quantity_Tons]]</f>
        <v>305.12204724409446</v>
      </c>
    </row>
    <row r="42" spans="1:10" x14ac:dyDescent="0.25">
      <c r="A42" s="1">
        <v>2021</v>
      </c>
      <c r="B42" s="1" t="s">
        <v>7</v>
      </c>
      <c r="C42" s="1" t="s">
        <v>21</v>
      </c>
      <c r="D42" s="1">
        <v>1045</v>
      </c>
      <c r="E42" s="1">
        <v>524590</v>
      </c>
      <c r="F42" s="1">
        <v>344328</v>
      </c>
      <c r="G42" s="1" t="s">
        <v>13</v>
      </c>
      <c r="H42" s="1">
        <f>Table1[[#This Row],[Export_Value_USD]]-Table1[[#This Row],[Export_Cost_USD]]</f>
        <v>180262</v>
      </c>
      <c r="I42" s="1">
        <f>Table1[[#This Row],[Export_Value_USD]]/Table1[[#This Row],[Quantity_Tons]]</f>
        <v>502</v>
      </c>
      <c r="J42" s="1">
        <f>Table1[[#This Row],[Export_Cost_USD]]/Table1[[#This Row],[Quantity_Tons]]</f>
        <v>329.50047846889953</v>
      </c>
    </row>
    <row r="43" spans="1:10" x14ac:dyDescent="0.25">
      <c r="A43" s="1">
        <v>2019</v>
      </c>
      <c r="B43" s="1" t="s">
        <v>17</v>
      </c>
      <c r="C43" s="1" t="s">
        <v>24</v>
      </c>
      <c r="D43" s="1">
        <v>1371</v>
      </c>
      <c r="E43" s="1">
        <v>552513</v>
      </c>
      <c r="F43" s="1">
        <v>357532</v>
      </c>
      <c r="G43" s="1" t="s">
        <v>13</v>
      </c>
      <c r="H43" s="1">
        <f>Table1[[#This Row],[Export_Value_USD]]-Table1[[#This Row],[Export_Cost_USD]]</f>
        <v>194981</v>
      </c>
      <c r="I43" s="1">
        <f>Table1[[#This Row],[Export_Value_USD]]/Table1[[#This Row],[Quantity_Tons]]</f>
        <v>403</v>
      </c>
      <c r="J43" s="1">
        <f>Table1[[#This Row],[Export_Cost_USD]]/Table1[[#This Row],[Quantity_Tons]]</f>
        <v>260.78191101385852</v>
      </c>
    </row>
    <row r="44" spans="1:10" x14ac:dyDescent="0.25">
      <c r="A44" s="1">
        <v>2021</v>
      </c>
      <c r="B44" s="1" t="s">
        <v>16</v>
      </c>
      <c r="C44" s="1" t="s">
        <v>23</v>
      </c>
      <c r="D44" s="1">
        <v>440</v>
      </c>
      <c r="E44" s="1">
        <v>229680</v>
      </c>
      <c r="F44" s="1">
        <v>159241</v>
      </c>
      <c r="G44" s="1" t="s">
        <v>15</v>
      </c>
      <c r="H44" s="1">
        <f>Table1[[#This Row],[Export_Value_USD]]-Table1[[#This Row],[Export_Cost_USD]]</f>
        <v>70439</v>
      </c>
      <c r="I44" s="1">
        <f>Table1[[#This Row],[Export_Value_USD]]/Table1[[#This Row],[Quantity_Tons]]</f>
        <v>522</v>
      </c>
      <c r="J44" s="1">
        <f>Table1[[#This Row],[Export_Cost_USD]]/Table1[[#This Row],[Quantity_Tons]]</f>
        <v>361.91136363636366</v>
      </c>
    </row>
    <row r="45" spans="1:10" x14ac:dyDescent="0.25">
      <c r="A45" s="1">
        <v>2023</v>
      </c>
      <c r="B45" s="1" t="s">
        <v>10</v>
      </c>
      <c r="C45" s="1" t="s">
        <v>8</v>
      </c>
      <c r="D45" s="1">
        <v>1964</v>
      </c>
      <c r="E45" s="1">
        <v>1339448</v>
      </c>
      <c r="F45" s="1">
        <v>927282</v>
      </c>
      <c r="G45" s="1" t="s">
        <v>13</v>
      </c>
      <c r="H45" s="1">
        <f>Table1[[#This Row],[Export_Value_USD]]-Table1[[#This Row],[Export_Cost_USD]]</f>
        <v>412166</v>
      </c>
      <c r="I45" s="1">
        <f>Table1[[#This Row],[Export_Value_USD]]/Table1[[#This Row],[Quantity_Tons]]</f>
        <v>682</v>
      </c>
      <c r="J45" s="1">
        <f>Table1[[#This Row],[Export_Cost_USD]]/Table1[[#This Row],[Quantity_Tons]]</f>
        <v>472.13951120162932</v>
      </c>
    </row>
    <row r="46" spans="1:10" x14ac:dyDescent="0.25">
      <c r="A46" s="1">
        <v>2021</v>
      </c>
      <c r="B46" s="1" t="s">
        <v>16</v>
      </c>
      <c r="C46" s="1" t="s">
        <v>21</v>
      </c>
      <c r="D46" s="1">
        <v>1418</v>
      </c>
      <c r="E46" s="1">
        <v>808260</v>
      </c>
      <c r="F46" s="1">
        <v>499841</v>
      </c>
      <c r="G46" s="1" t="s">
        <v>9</v>
      </c>
      <c r="H46" s="1">
        <f>Table1[[#This Row],[Export_Value_USD]]-Table1[[#This Row],[Export_Cost_USD]]</f>
        <v>308419</v>
      </c>
      <c r="I46" s="1">
        <f>Table1[[#This Row],[Export_Value_USD]]/Table1[[#This Row],[Quantity_Tons]]</f>
        <v>570</v>
      </c>
      <c r="J46" s="1">
        <f>Table1[[#This Row],[Export_Cost_USD]]/Table1[[#This Row],[Quantity_Tons]]</f>
        <v>352.49717912552893</v>
      </c>
    </row>
    <row r="47" spans="1:10" x14ac:dyDescent="0.25">
      <c r="A47" s="1">
        <v>2021</v>
      </c>
      <c r="B47" s="1" t="s">
        <v>22</v>
      </c>
      <c r="C47" s="1" t="s">
        <v>8</v>
      </c>
      <c r="D47" s="1">
        <v>1978</v>
      </c>
      <c r="E47" s="1">
        <v>1022626</v>
      </c>
      <c r="F47" s="1">
        <v>660263</v>
      </c>
      <c r="G47" s="1" t="s">
        <v>15</v>
      </c>
      <c r="H47" s="1">
        <f>Table1[[#This Row],[Export_Value_USD]]-Table1[[#This Row],[Export_Cost_USD]]</f>
        <v>362363</v>
      </c>
      <c r="I47" s="1">
        <f>Table1[[#This Row],[Export_Value_USD]]/Table1[[#This Row],[Quantity_Tons]]</f>
        <v>517</v>
      </c>
      <c r="J47" s="1">
        <f>Table1[[#This Row],[Export_Cost_USD]]/Table1[[#This Row],[Quantity_Tons]]</f>
        <v>333.80333670374114</v>
      </c>
    </row>
    <row r="48" spans="1:10" x14ac:dyDescent="0.25">
      <c r="A48" s="1">
        <v>2019</v>
      </c>
      <c r="B48" s="1" t="s">
        <v>22</v>
      </c>
      <c r="C48" s="1" t="s">
        <v>14</v>
      </c>
      <c r="D48" s="1">
        <v>1154</v>
      </c>
      <c r="E48" s="1">
        <v>624314</v>
      </c>
      <c r="F48" s="1">
        <v>454245</v>
      </c>
      <c r="G48" s="1" t="s">
        <v>9</v>
      </c>
      <c r="H48" s="1">
        <f>Table1[[#This Row],[Export_Value_USD]]-Table1[[#This Row],[Export_Cost_USD]]</f>
        <v>170069</v>
      </c>
      <c r="I48" s="1">
        <f>Table1[[#This Row],[Export_Value_USD]]/Table1[[#This Row],[Quantity_Tons]]</f>
        <v>541</v>
      </c>
      <c r="J48" s="1">
        <f>Table1[[#This Row],[Export_Cost_USD]]/Table1[[#This Row],[Quantity_Tons]]</f>
        <v>393.62651646447142</v>
      </c>
    </row>
    <row r="49" spans="1:10" x14ac:dyDescent="0.25">
      <c r="A49" s="1">
        <v>2020</v>
      </c>
      <c r="B49" s="1" t="s">
        <v>10</v>
      </c>
      <c r="C49" s="1" t="s">
        <v>14</v>
      </c>
      <c r="D49" s="1">
        <v>1775</v>
      </c>
      <c r="E49" s="1">
        <v>985125</v>
      </c>
      <c r="F49" s="1">
        <v>625406</v>
      </c>
      <c r="G49" s="1" t="s">
        <v>15</v>
      </c>
      <c r="H49" s="1">
        <f>Table1[[#This Row],[Export_Value_USD]]-Table1[[#This Row],[Export_Cost_USD]]</f>
        <v>359719</v>
      </c>
      <c r="I49" s="1">
        <f>Table1[[#This Row],[Export_Value_USD]]/Table1[[#This Row],[Quantity_Tons]]</f>
        <v>555</v>
      </c>
      <c r="J49" s="1">
        <f>Table1[[#This Row],[Export_Cost_USD]]/Table1[[#This Row],[Quantity_Tons]]</f>
        <v>352.34140845070425</v>
      </c>
    </row>
    <row r="50" spans="1:10" x14ac:dyDescent="0.25">
      <c r="A50" s="1">
        <v>2023</v>
      </c>
      <c r="B50" s="1" t="s">
        <v>12</v>
      </c>
      <c r="C50" s="1" t="s">
        <v>19</v>
      </c>
      <c r="D50" s="1">
        <v>1676</v>
      </c>
      <c r="E50" s="1">
        <v>863140</v>
      </c>
      <c r="F50" s="1">
        <v>664020</v>
      </c>
      <c r="G50" s="1" t="s">
        <v>9</v>
      </c>
      <c r="H50" s="1">
        <f>Table1[[#This Row],[Export_Value_USD]]-Table1[[#This Row],[Export_Cost_USD]]</f>
        <v>199120</v>
      </c>
      <c r="I50" s="1">
        <f>Table1[[#This Row],[Export_Value_USD]]/Table1[[#This Row],[Quantity_Tons]]</f>
        <v>515</v>
      </c>
      <c r="J50" s="1">
        <f>Table1[[#This Row],[Export_Cost_USD]]/Table1[[#This Row],[Quantity_Tons]]</f>
        <v>396.19331742243435</v>
      </c>
    </row>
    <row r="51" spans="1:10" x14ac:dyDescent="0.25">
      <c r="A51" s="1">
        <v>2023</v>
      </c>
      <c r="B51" s="1" t="s">
        <v>22</v>
      </c>
      <c r="C51" s="1" t="s">
        <v>24</v>
      </c>
      <c r="D51" s="1">
        <v>1178</v>
      </c>
      <c r="E51" s="1">
        <v>653790</v>
      </c>
      <c r="F51" s="1">
        <v>413767</v>
      </c>
      <c r="G51" s="1" t="s">
        <v>9</v>
      </c>
      <c r="H51" s="1">
        <f>Table1[[#This Row],[Export_Value_USD]]-Table1[[#This Row],[Export_Cost_USD]]</f>
        <v>240023</v>
      </c>
      <c r="I51" s="1">
        <f>Table1[[#This Row],[Export_Value_USD]]/Table1[[#This Row],[Quantity_Tons]]</f>
        <v>555</v>
      </c>
      <c r="J51" s="1">
        <f>Table1[[#This Row],[Export_Cost_USD]]/Table1[[#This Row],[Quantity_Tons]]</f>
        <v>351.24533106960951</v>
      </c>
    </row>
    <row r="52" spans="1:10" x14ac:dyDescent="0.25">
      <c r="A52" s="1">
        <v>2019</v>
      </c>
      <c r="B52" s="1" t="s">
        <v>16</v>
      </c>
      <c r="C52" s="1" t="s">
        <v>24</v>
      </c>
      <c r="D52" s="1">
        <v>1289</v>
      </c>
      <c r="E52" s="1">
        <v>554270</v>
      </c>
      <c r="F52" s="1">
        <v>420544</v>
      </c>
      <c r="G52" s="1" t="s">
        <v>13</v>
      </c>
      <c r="H52" s="1">
        <f>Table1[[#This Row],[Export_Value_USD]]-Table1[[#This Row],[Export_Cost_USD]]</f>
        <v>133726</v>
      </c>
      <c r="I52" s="1">
        <f>Table1[[#This Row],[Export_Value_USD]]/Table1[[#This Row],[Quantity_Tons]]</f>
        <v>430</v>
      </c>
      <c r="J52" s="1">
        <f>Table1[[#This Row],[Export_Cost_USD]]/Table1[[#This Row],[Quantity_Tons]]</f>
        <v>326.25601241272307</v>
      </c>
    </row>
    <row r="53" spans="1:10" x14ac:dyDescent="0.25">
      <c r="A53" s="1">
        <v>2021</v>
      </c>
      <c r="B53" s="1" t="s">
        <v>7</v>
      </c>
      <c r="C53" s="1" t="s">
        <v>14</v>
      </c>
      <c r="D53" s="1">
        <v>833</v>
      </c>
      <c r="E53" s="1">
        <v>536452</v>
      </c>
      <c r="F53" s="1">
        <v>358159</v>
      </c>
      <c r="G53" s="1" t="s">
        <v>9</v>
      </c>
      <c r="H53" s="1">
        <f>Table1[[#This Row],[Export_Value_USD]]-Table1[[#This Row],[Export_Cost_USD]]</f>
        <v>178293</v>
      </c>
      <c r="I53" s="1">
        <f>Table1[[#This Row],[Export_Value_USD]]/Table1[[#This Row],[Quantity_Tons]]</f>
        <v>644</v>
      </c>
      <c r="J53" s="1">
        <f>Table1[[#This Row],[Export_Cost_USD]]/Table1[[#This Row],[Quantity_Tons]]</f>
        <v>429.96278511404563</v>
      </c>
    </row>
    <row r="54" spans="1:10" x14ac:dyDescent="0.25">
      <c r="A54" s="1">
        <v>2018</v>
      </c>
      <c r="B54" s="1" t="s">
        <v>10</v>
      </c>
      <c r="C54" s="1" t="s">
        <v>11</v>
      </c>
      <c r="D54" s="1">
        <v>1480</v>
      </c>
      <c r="E54" s="1">
        <v>751840</v>
      </c>
      <c r="F54" s="1">
        <v>510381</v>
      </c>
      <c r="G54" s="1" t="s">
        <v>13</v>
      </c>
      <c r="H54" s="1">
        <f>Table1[[#This Row],[Export_Value_USD]]-Table1[[#This Row],[Export_Cost_USD]]</f>
        <v>241459</v>
      </c>
      <c r="I54" s="1">
        <f>Table1[[#This Row],[Export_Value_USD]]/Table1[[#This Row],[Quantity_Tons]]</f>
        <v>508</v>
      </c>
      <c r="J54" s="1">
        <f>Table1[[#This Row],[Export_Cost_USD]]/Table1[[#This Row],[Quantity_Tons]]</f>
        <v>344.85202702702702</v>
      </c>
    </row>
    <row r="55" spans="1:10" x14ac:dyDescent="0.25">
      <c r="A55" s="1">
        <v>2020</v>
      </c>
      <c r="B55" s="1" t="s">
        <v>7</v>
      </c>
      <c r="C55" s="1" t="s">
        <v>24</v>
      </c>
      <c r="D55" s="1">
        <v>910</v>
      </c>
      <c r="E55" s="1">
        <v>473200</v>
      </c>
      <c r="F55" s="1">
        <v>366271</v>
      </c>
      <c r="G55" s="1" t="s">
        <v>13</v>
      </c>
      <c r="H55" s="1">
        <f>Table1[[#This Row],[Export_Value_USD]]-Table1[[#This Row],[Export_Cost_USD]]</f>
        <v>106929</v>
      </c>
      <c r="I55" s="1">
        <f>Table1[[#This Row],[Export_Value_USD]]/Table1[[#This Row],[Quantity_Tons]]</f>
        <v>520</v>
      </c>
      <c r="J55" s="1">
        <f>Table1[[#This Row],[Export_Cost_USD]]/Table1[[#This Row],[Quantity_Tons]]</f>
        <v>402.4956043956044</v>
      </c>
    </row>
    <row r="56" spans="1:10" x14ac:dyDescent="0.25">
      <c r="A56" s="1">
        <v>2019</v>
      </c>
      <c r="B56" s="1" t="s">
        <v>17</v>
      </c>
      <c r="C56" s="1" t="s">
        <v>19</v>
      </c>
      <c r="D56" s="1">
        <v>697</v>
      </c>
      <c r="E56" s="1">
        <v>356167</v>
      </c>
      <c r="F56" s="1">
        <v>247314</v>
      </c>
      <c r="G56" s="1" t="s">
        <v>15</v>
      </c>
      <c r="H56" s="1">
        <f>Table1[[#This Row],[Export_Value_USD]]-Table1[[#This Row],[Export_Cost_USD]]</f>
        <v>108853</v>
      </c>
      <c r="I56" s="1">
        <f>Table1[[#This Row],[Export_Value_USD]]/Table1[[#This Row],[Quantity_Tons]]</f>
        <v>511</v>
      </c>
      <c r="J56" s="1">
        <f>Table1[[#This Row],[Export_Cost_USD]]/Table1[[#This Row],[Quantity_Tons]]</f>
        <v>354.8263988522238</v>
      </c>
    </row>
    <row r="57" spans="1:10" x14ac:dyDescent="0.25">
      <c r="A57" s="1">
        <v>2023</v>
      </c>
      <c r="B57" s="1" t="s">
        <v>17</v>
      </c>
      <c r="C57" s="1" t="s">
        <v>21</v>
      </c>
      <c r="D57" s="1">
        <v>1970</v>
      </c>
      <c r="E57" s="1">
        <v>1243070</v>
      </c>
      <c r="F57" s="1">
        <v>756806</v>
      </c>
      <c r="G57" s="1" t="s">
        <v>15</v>
      </c>
      <c r="H57" s="1">
        <f>Table1[[#This Row],[Export_Value_USD]]-Table1[[#This Row],[Export_Cost_USD]]</f>
        <v>486264</v>
      </c>
      <c r="I57" s="1">
        <f>Table1[[#This Row],[Export_Value_USD]]/Table1[[#This Row],[Quantity_Tons]]</f>
        <v>631</v>
      </c>
      <c r="J57" s="1">
        <f>Table1[[#This Row],[Export_Cost_USD]]/Table1[[#This Row],[Quantity_Tons]]</f>
        <v>384.16548223350253</v>
      </c>
    </row>
    <row r="58" spans="1:10" x14ac:dyDescent="0.25">
      <c r="A58" s="1">
        <v>2020</v>
      </c>
      <c r="B58" s="1" t="s">
        <v>7</v>
      </c>
      <c r="C58" s="1" t="s">
        <v>20</v>
      </c>
      <c r="D58" s="1">
        <v>1532</v>
      </c>
      <c r="E58" s="1">
        <v>879368</v>
      </c>
      <c r="F58" s="1">
        <v>552654</v>
      </c>
      <c r="G58" s="1" t="s">
        <v>15</v>
      </c>
      <c r="H58" s="1">
        <f>Table1[[#This Row],[Export_Value_USD]]-Table1[[#This Row],[Export_Cost_USD]]</f>
        <v>326714</v>
      </c>
      <c r="I58" s="1">
        <f>Table1[[#This Row],[Export_Value_USD]]/Table1[[#This Row],[Quantity_Tons]]</f>
        <v>574</v>
      </c>
      <c r="J58" s="1">
        <f>Table1[[#This Row],[Export_Cost_USD]]/Table1[[#This Row],[Quantity_Tons]]</f>
        <v>360.7402088772846</v>
      </c>
    </row>
    <row r="59" spans="1:10" x14ac:dyDescent="0.25">
      <c r="A59" s="1">
        <v>2019</v>
      </c>
      <c r="B59" s="1" t="s">
        <v>22</v>
      </c>
      <c r="C59" s="1" t="s">
        <v>18</v>
      </c>
      <c r="D59" s="1">
        <v>761</v>
      </c>
      <c r="E59" s="1">
        <v>412462</v>
      </c>
      <c r="F59" s="1">
        <v>325588</v>
      </c>
      <c r="G59" s="1" t="s">
        <v>9</v>
      </c>
      <c r="H59" s="1">
        <f>Table1[[#This Row],[Export_Value_USD]]-Table1[[#This Row],[Export_Cost_USD]]</f>
        <v>86874</v>
      </c>
      <c r="I59" s="1">
        <f>Table1[[#This Row],[Export_Value_USD]]/Table1[[#This Row],[Quantity_Tons]]</f>
        <v>542</v>
      </c>
      <c r="J59" s="1">
        <f>Table1[[#This Row],[Export_Cost_USD]]/Table1[[#This Row],[Quantity_Tons]]</f>
        <v>427.84231274638631</v>
      </c>
    </row>
    <row r="60" spans="1:10" x14ac:dyDescent="0.25">
      <c r="A60" s="1">
        <v>2019</v>
      </c>
      <c r="B60" s="1" t="s">
        <v>17</v>
      </c>
      <c r="C60" s="1" t="s">
        <v>8</v>
      </c>
      <c r="D60" s="1">
        <v>1244</v>
      </c>
      <c r="E60" s="1">
        <v>760084</v>
      </c>
      <c r="F60" s="1">
        <v>549731</v>
      </c>
      <c r="G60" s="1" t="s">
        <v>15</v>
      </c>
      <c r="H60" s="1">
        <f>Table1[[#This Row],[Export_Value_USD]]-Table1[[#This Row],[Export_Cost_USD]]</f>
        <v>210353</v>
      </c>
      <c r="I60" s="1">
        <f>Table1[[#This Row],[Export_Value_USD]]/Table1[[#This Row],[Quantity_Tons]]</f>
        <v>611</v>
      </c>
      <c r="J60" s="1">
        <f>Table1[[#This Row],[Export_Cost_USD]]/Table1[[#This Row],[Quantity_Tons]]</f>
        <v>441.90594855305466</v>
      </c>
    </row>
    <row r="61" spans="1:10" x14ac:dyDescent="0.25">
      <c r="A61" s="1">
        <v>2020</v>
      </c>
      <c r="B61" s="1" t="s">
        <v>7</v>
      </c>
      <c r="C61" s="1" t="s">
        <v>20</v>
      </c>
      <c r="D61" s="1">
        <v>586</v>
      </c>
      <c r="E61" s="1">
        <v>353944</v>
      </c>
      <c r="F61" s="1">
        <v>233644</v>
      </c>
      <c r="G61" s="1" t="s">
        <v>9</v>
      </c>
      <c r="H61" s="1">
        <f>Table1[[#This Row],[Export_Value_USD]]-Table1[[#This Row],[Export_Cost_USD]]</f>
        <v>120300</v>
      </c>
      <c r="I61" s="1">
        <f>Table1[[#This Row],[Export_Value_USD]]/Table1[[#This Row],[Quantity_Tons]]</f>
        <v>604</v>
      </c>
      <c r="J61" s="1">
        <f>Table1[[#This Row],[Export_Cost_USD]]/Table1[[#This Row],[Quantity_Tons]]</f>
        <v>398.70989761092153</v>
      </c>
    </row>
    <row r="62" spans="1:10" x14ac:dyDescent="0.25">
      <c r="A62" s="1">
        <v>2019</v>
      </c>
      <c r="B62" s="1" t="s">
        <v>12</v>
      </c>
      <c r="C62" s="1" t="s">
        <v>19</v>
      </c>
      <c r="D62" s="1">
        <v>749</v>
      </c>
      <c r="E62" s="1">
        <v>435918</v>
      </c>
      <c r="F62" s="1">
        <v>333117</v>
      </c>
      <c r="G62" s="1" t="s">
        <v>13</v>
      </c>
      <c r="H62" s="1">
        <f>Table1[[#This Row],[Export_Value_USD]]-Table1[[#This Row],[Export_Cost_USD]]</f>
        <v>102801</v>
      </c>
      <c r="I62" s="1">
        <f>Table1[[#This Row],[Export_Value_USD]]/Table1[[#This Row],[Quantity_Tons]]</f>
        <v>582</v>
      </c>
      <c r="J62" s="1">
        <f>Table1[[#This Row],[Export_Cost_USD]]/Table1[[#This Row],[Quantity_Tons]]</f>
        <v>444.74899866488653</v>
      </c>
    </row>
    <row r="63" spans="1:10" x14ac:dyDescent="0.25">
      <c r="A63" s="1">
        <v>2021</v>
      </c>
      <c r="B63" s="1" t="s">
        <v>16</v>
      </c>
      <c r="C63" s="1" t="s">
        <v>24</v>
      </c>
      <c r="D63" s="1">
        <v>1582</v>
      </c>
      <c r="E63" s="1">
        <v>866936</v>
      </c>
      <c r="F63" s="1">
        <v>615554</v>
      </c>
      <c r="G63" s="1" t="s">
        <v>15</v>
      </c>
      <c r="H63" s="1">
        <f>Table1[[#This Row],[Export_Value_USD]]-Table1[[#This Row],[Export_Cost_USD]]</f>
        <v>251382</v>
      </c>
      <c r="I63" s="1">
        <f>Table1[[#This Row],[Export_Value_USD]]/Table1[[#This Row],[Quantity_Tons]]</f>
        <v>548</v>
      </c>
      <c r="J63" s="1">
        <f>Table1[[#This Row],[Export_Cost_USD]]/Table1[[#This Row],[Quantity_Tons]]</f>
        <v>389.09860935524654</v>
      </c>
    </row>
    <row r="64" spans="1:10" x14ac:dyDescent="0.25">
      <c r="A64" s="1">
        <v>2019</v>
      </c>
      <c r="B64" s="1" t="s">
        <v>17</v>
      </c>
      <c r="C64" s="1" t="s">
        <v>14</v>
      </c>
      <c r="D64" s="1">
        <v>1712</v>
      </c>
      <c r="E64" s="1">
        <v>828608</v>
      </c>
      <c r="F64" s="1">
        <v>523637</v>
      </c>
      <c r="G64" s="1" t="s">
        <v>9</v>
      </c>
      <c r="H64" s="1">
        <f>Table1[[#This Row],[Export_Value_USD]]-Table1[[#This Row],[Export_Cost_USD]]</f>
        <v>304971</v>
      </c>
      <c r="I64" s="1">
        <f>Table1[[#This Row],[Export_Value_USD]]/Table1[[#This Row],[Quantity_Tons]]</f>
        <v>484</v>
      </c>
      <c r="J64" s="1">
        <f>Table1[[#This Row],[Export_Cost_USD]]/Table1[[#This Row],[Quantity_Tons]]</f>
        <v>305.86273364485982</v>
      </c>
    </row>
    <row r="65" spans="1:10" x14ac:dyDescent="0.25">
      <c r="A65" s="1">
        <v>2023</v>
      </c>
      <c r="B65" s="1" t="s">
        <v>22</v>
      </c>
      <c r="C65" s="1" t="s">
        <v>21</v>
      </c>
      <c r="D65" s="1">
        <v>732</v>
      </c>
      <c r="E65" s="1">
        <v>371856</v>
      </c>
      <c r="F65" s="1">
        <v>283936</v>
      </c>
      <c r="G65" s="1" t="s">
        <v>9</v>
      </c>
      <c r="H65" s="1">
        <f>Table1[[#This Row],[Export_Value_USD]]-Table1[[#This Row],[Export_Cost_USD]]</f>
        <v>87920</v>
      </c>
      <c r="I65" s="1">
        <f>Table1[[#This Row],[Export_Value_USD]]/Table1[[#This Row],[Quantity_Tons]]</f>
        <v>508</v>
      </c>
      <c r="J65" s="1">
        <f>Table1[[#This Row],[Export_Cost_USD]]/Table1[[#This Row],[Quantity_Tons]]</f>
        <v>387.89071038251365</v>
      </c>
    </row>
    <row r="66" spans="1:10" x14ac:dyDescent="0.25">
      <c r="A66" s="1">
        <v>2020</v>
      </c>
      <c r="B66" s="1" t="s">
        <v>10</v>
      </c>
      <c r="C66" s="1" t="s">
        <v>24</v>
      </c>
      <c r="D66" s="1">
        <v>983</v>
      </c>
      <c r="E66" s="1">
        <v>567191</v>
      </c>
      <c r="F66" s="1">
        <v>389996</v>
      </c>
      <c r="G66" s="1" t="s">
        <v>13</v>
      </c>
      <c r="H66" s="1">
        <f>Table1[[#This Row],[Export_Value_USD]]-Table1[[#This Row],[Export_Cost_USD]]</f>
        <v>177195</v>
      </c>
      <c r="I66" s="1">
        <f>Table1[[#This Row],[Export_Value_USD]]/Table1[[#This Row],[Quantity_Tons]]</f>
        <v>577</v>
      </c>
      <c r="J66" s="1">
        <f>Table1[[#This Row],[Export_Cost_USD]]/Table1[[#This Row],[Quantity_Tons]]</f>
        <v>396.74059003051883</v>
      </c>
    </row>
    <row r="67" spans="1:10" x14ac:dyDescent="0.25">
      <c r="A67" s="1">
        <v>2021</v>
      </c>
      <c r="B67" s="1" t="s">
        <v>10</v>
      </c>
      <c r="C67" s="1" t="s">
        <v>24</v>
      </c>
      <c r="D67" s="1">
        <v>1890</v>
      </c>
      <c r="E67" s="1">
        <v>1016820</v>
      </c>
      <c r="F67" s="1">
        <v>644317</v>
      </c>
      <c r="G67" s="1" t="s">
        <v>9</v>
      </c>
      <c r="H67" s="1">
        <f>Table1[[#This Row],[Export_Value_USD]]-Table1[[#This Row],[Export_Cost_USD]]</f>
        <v>372503</v>
      </c>
      <c r="I67" s="1">
        <f>Table1[[#This Row],[Export_Value_USD]]/Table1[[#This Row],[Quantity_Tons]]</f>
        <v>538</v>
      </c>
      <c r="J67" s="1">
        <f>Table1[[#This Row],[Export_Cost_USD]]/Table1[[#This Row],[Quantity_Tons]]</f>
        <v>340.90846560846563</v>
      </c>
    </row>
    <row r="68" spans="1:10" x14ac:dyDescent="0.25">
      <c r="A68" s="1">
        <v>2021</v>
      </c>
      <c r="B68" s="1" t="s">
        <v>16</v>
      </c>
      <c r="C68" s="1" t="s">
        <v>21</v>
      </c>
      <c r="D68" s="1">
        <v>345</v>
      </c>
      <c r="E68" s="1">
        <v>202170</v>
      </c>
      <c r="F68" s="1">
        <v>122428</v>
      </c>
      <c r="G68" s="1" t="s">
        <v>9</v>
      </c>
      <c r="H68" s="1">
        <f>Table1[[#This Row],[Export_Value_USD]]-Table1[[#This Row],[Export_Cost_USD]]</f>
        <v>79742</v>
      </c>
      <c r="I68" s="1">
        <f>Table1[[#This Row],[Export_Value_USD]]/Table1[[#This Row],[Quantity_Tons]]</f>
        <v>586</v>
      </c>
      <c r="J68" s="1">
        <f>Table1[[#This Row],[Export_Cost_USD]]/Table1[[#This Row],[Quantity_Tons]]</f>
        <v>354.86376811594204</v>
      </c>
    </row>
    <row r="69" spans="1:10" x14ac:dyDescent="0.25">
      <c r="A69" s="1">
        <v>2018</v>
      </c>
      <c r="B69" s="1" t="s">
        <v>16</v>
      </c>
      <c r="C69" s="1" t="s">
        <v>18</v>
      </c>
      <c r="D69" s="1">
        <v>283</v>
      </c>
      <c r="E69" s="1">
        <v>163857</v>
      </c>
      <c r="F69" s="1">
        <v>115578</v>
      </c>
      <c r="G69" s="1" t="s">
        <v>15</v>
      </c>
      <c r="H69" s="1">
        <f>Table1[[#This Row],[Export_Value_USD]]-Table1[[#This Row],[Export_Cost_USD]]</f>
        <v>48279</v>
      </c>
      <c r="I69" s="1">
        <f>Table1[[#This Row],[Export_Value_USD]]/Table1[[#This Row],[Quantity_Tons]]</f>
        <v>579</v>
      </c>
      <c r="J69" s="1">
        <f>Table1[[#This Row],[Export_Cost_USD]]/Table1[[#This Row],[Quantity_Tons]]</f>
        <v>408.40282685512369</v>
      </c>
    </row>
    <row r="70" spans="1:10" x14ac:dyDescent="0.25">
      <c r="A70" s="1">
        <v>2021</v>
      </c>
      <c r="B70" s="1" t="s">
        <v>10</v>
      </c>
      <c r="C70" s="1" t="s">
        <v>21</v>
      </c>
      <c r="D70" s="1">
        <v>976</v>
      </c>
      <c r="E70" s="1">
        <v>672464</v>
      </c>
      <c r="F70" s="1">
        <v>448884</v>
      </c>
      <c r="G70" s="1" t="s">
        <v>15</v>
      </c>
      <c r="H70" s="1">
        <f>Table1[[#This Row],[Export_Value_USD]]-Table1[[#This Row],[Export_Cost_USD]]</f>
        <v>223580</v>
      </c>
      <c r="I70" s="1">
        <f>Table1[[#This Row],[Export_Value_USD]]/Table1[[#This Row],[Quantity_Tons]]</f>
        <v>689</v>
      </c>
      <c r="J70" s="1">
        <f>Table1[[#This Row],[Export_Cost_USD]]/Table1[[#This Row],[Quantity_Tons]]</f>
        <v>459.92213114754099</v>
      </c>
    </row>
    <row r="71" spans="1:10" x14ac:dyDescent="0.25">
      <c r="A71" s="1">
        <v>2022</v>
      </c>
      <c r="B71" s="1" t="s">
        <v>16</v>
      </c>
      <c r="C71" s="1" t="s">
        <v>19</v>
      </c>
      <c r="D71" s="1">
        <v>602</v>
      </c>
      <c r="E71" s="1">
        <v>258860</v>
      </c>
      <c r="F71" s="1">
        <v>158336</v>
      </c>
      <c r="G71" s="1" t="s">
        <v>15</v>
      </c>
      <c r="H71" s="1">
        <f>Table1[[#This Row],[Export_Value_USD]]-Table1[[#This Row],[Export_Cost_USD]]</f>
        <v>100524</v>
      </c>
      <c r="I71" s="1">
        <f>Table1[[#This Row],[Export_Value_USD]]/Table1[[#This Row],[Quantity_Tons]]</f>
        <v>430</v>
      </c>
      <c r="J71" s="1">
        <f>Table1[[#This Row],[Export_Cost_USD]]/Table1[[#This Row],[Quantity_Tons]]</f>
        <v>263.01661129568106</v>
      </c>
    </row>
    <row r="72" spans="1:10" x14ac:dyDescent="0.25">
      <c r="A72" s="1">
        <v>2018</v>
      </c>
      <c r="B72" s="1" t="s">
        <v>7</v>
      </c>
      <c r="C72" s="1" t="s">
        <v>8</v>
      </c>
      <c r="D72" s="1">
        <v>1087</v>
      </c>
      <c r="E72" s="1">
        <v>707637</v>
      </c>
      <c r="F72" s="1">
        <v>458661</v>
      </c>
      <c r="G72" s="1" t="s">
        <v>13</v>
      </c>
      <c r="H72" s="1">
        <f>Table1[[#This Row],[Export_Value_USD]]-Table1[[#This Row],[Export_Cost_USD]]</f>
        <v>248976</v>
      </c>
      <c r="I72" s="1">
        <f>Table1[[#This Row],[Export_Value_USD]]/Table1[[#This Row],[Quantity_Tons]]</f>
        <v>651</v>
      </c>
      <c r="J72" s="1">
        <f>Table1[[#This Row],[Export_Cost_USD]]/Table1[[#This Row],[Quantity_Tons]]</f>
        <v>421.95124195032201</v>
      </c>
    </row>
    <row r="73" spans="1:10" x14ac:dyDescent="0.25">
      <c r="A73" s="1">
        <v>2020</v>
      </c>
      <c r="B73" s="1" t="s">
        <v>7</v>
      </c>
      <c r="C73" s="1" t="s">
        <v>8</v>
      </c>
      <c r="D73" s="1">
        <v>1727</v>
      </c>
      <c r="E73" s="1">
        <v>1093191</v>
      </c>
      <c r="F73" s="1">
        <v>819017</v>
      </c>
      <c r="G73" s="1" t="s">
        <v>15</v>
      </c>
      <c r="H73" s="1">
        <f>Table1[[#This Row],[Export_Value_USD]]-Table1[[#This Row],[Export_Cost_USD]]</f>
        <v>274174</v>
      </c>
      <c r="I73" s="1">
        <f>Table1[[#This Row],[Export_Value_USD]]/Table1[[#This Row],[Quantity_Tons]]</f>
        <v>633</v>
      </c>
      <c r="J73" s="1">
        <f>Table1[[#This Row],[Export_Cost_USD]]/Table1[[#This Row],[Quantity_Tons]]</f>
        <v>474.24261725535609</v>
      </c>
    </row>
    <row r="74" spans="1:10" x14ac:dyDescent="0.25">
      <c r="A74" s="1">
        <v>2021</v>
      </c>
      <c r="B74" s="1" t="s">
        <v>12</v>
      </c>
      <c r="C74" s="1" t="s">
        <v>20</v>
      </c>
      <c r="D74" s="1">
        <v>411</v>
      </c>
      <c r="E74" s="1">
        <v>175497</v>
      </c>
      <c r="F74" s="1">
        <v>121056</v>
      </c>
      <c r="G74" s="1" t="s">
        <v>9</v>
      </c>
      <c r="H74" s="1">
        <f>Table1[[#This Row],[Export_Value_USD]]-Table1[[#This Row],[Export_Cost_USD]]</f>
        <v>54441</v>
      </c>
      <c r="I74" s="1">
        <f>Table1[[#This Row],[Export_Value_USD]]/Table1[[#This Row],[Quantity_Tons]]</f>
        <v>427</v>
      </c>
      <c r="J74" s="1">
        <f>Table1[[#This Row],[Export_Cost_USD]]/Table1[[#This Row],[Quantity_Tons]]</f>
        <v>294.54014598540147</v>
      </c>
    </row>
    <row r="75" spans="1:10" x14ac:dyDescent="0.25">
      <c r="A75" s="1">
        <v>2023</v>
      </c>
      <c r="B75" s="1" t="s">
        <v>10</v>
      </c>
      <c r="C75" s="1" t="s">
        <v>23</v>
      </c>
      <c r="D75" s="1">
        <v>1956</v>
      </c>
      <c r="E75" s="1">
        <v>1228368</v>
      </c>
      <c r="F75" s="1">
        <v>907486</v>
      </c>
      <c r="G75" s="1" t="s">
        <v>15</v>
      </c>
      <c r="H75" s="1">
        <f>Table1[[#This Row],[Export_Value_USD]]-Table1[[#This Row],[Export_Cost_USD]]</f>
        <v>320882</v>
      </c>
      <c r="I75" s="1">
        <f>Table1[[#This Row],[Export_Value_USD]]/Table1[[#This Row],[Quantity_Tons]]</f>
        <v>628</v>
      </c>
      <c r="J75" s="1">
        <f>Table1[[#This Row],[Export_Cost_USD]]/Table1[[#This Row],[Quantity_Tons]]</f>
        <v>463.94989775051124</v>
      </c>
    </row>
    <row r="76" spans="1:10" x14ac:dyDescent="0.25">
      <c r="A76" s="1">
        <v>2021</v>
      </c>
      <c r="B76" s="1" t="s">
        <v>10</v>
      </c>
      <c r="C76" s="1" t="s">
        <v>19</v>
      </c>
      <c r="D76" s="1">
        <v>781</v>
      </c>
      <c r="E76" s="1">
        <v>392062</v>
      </c>
      <c r="F76" s="1">
        <v>265620</v>
      </c>
      <c r="G76" s="1" t="s">
        <v>15</v>
      </c>
      <c r="H76" s="1">
        <f>Table1[[#This Row],[Export_Value_USD]]-Table1[[#This Row],[Export_Cost_USD]]</f>
        <v>126442</v>
      </c>
      <c r="I76" s="1">
        <f>Table1[[#This Row],[Export_Value_USD]]/Table1[[#This Row],[Quantity_Tons]]</f>
        <v>502</v>
      </c>
      <c r="J76" s="1">
        <f>Table1[[#This Row],[Export_Cost_USD]]/Table1[[#This Row],[Quantity_Tons]]</f>
        <v>340.10243277848912</v>
      </c>
    </row>
    <row r="77" spans="1:10" x14ac:dyDescent="0.25">
      <c r="A77" s="1">
        <v>2019</v>
      </c>
      <c r="B77" s="1" t="s">
        <v>12</v>
      </c>
      <c r="C77" s="1" t="s">
        <v>19</v>
      </c>
      <c r="D77" s="1">
        <v>1087</v>
      </c>
      <c r="E77" s="1">
        <v>465236</v>
      </c>
      <c r="F77" s="1">
        <v>313181</v>
      </c>
      <c r="G77" s="1" t="s">
        <v>13</v>
      </c>
      <c r="H77" s="1">
        <f>Table1[[#This Row],[Export_Value_USD]]-Table1[[#This Row],[Export_Cost_USD]]</f>
        <v>152055</v>
      </c>
      <c r="I77" s="1">
        <f>Table1[[#This Row],[Export_Value_USD]]/Table1[[#This Row],[Quantity_Tons]]</f>
        <v>428</v>
      </c>
      <c r="J77" s="1">
        <f>Table1[[#This Row],[Export_Cost_USD]]/Table1[[#This Row],[Quantity_Tons]]</f>
        <v>288.114995400184</v>
      </c>
    </row>
    <row r="78" spans="1:10" x14ac:dyDescent="0.25">
      <c r="A78" s="1">
        <v>2022</v>
      </c>
      <c r="B78" s="1" t="s">
        <v>12</v>
      </c>
      <c r="C78" s="1" t="s">
        <v>20</v>
      </c>
      <c r="D78" s="1">
        <v>1298</v>
      </c>
      <c r="E78" s="1">
        <v>880044</v>
      </c>
      <c r="F78" s="1">
        <v>642261</v>
      </c>
      <c r="G78" s="1" t="s">
        <v>15</v>
      </c>
      <c r="H78" s="1">
        <f>Table1[[#This Row],[Export_Value_USD]]-Table1[[#This Row],[Export_Cost_USD]]</f>
        <v>237783</v>
      </c>
      <c r="I78" s="1">
        <f>Table1[[#This Row],[Export_Value_USD]]/Table1[[#This Row],[Quantity_Tons]]</f>
        <v>678</v>
      </c>
      <c r="J78" s="1">
        <f>Table1[[#This Row],[Export_Cost_USD]]/Table1[[#This Row],[Quantity_Tons]]</f>
        <v>494.80816640986131</v>
      </c>
    </row>
    <row r="79" spans="1:10" x14ac:dyDescent="0.25">
      <c r="A79" s="1">
        <v>2023</v>
      </c>
      <c r="B79" s="1" t="s">
        <v>16</v>
      </c>
      <c r="C79" s="1" t="s">
        <v>11</v>
      </c>
      <c r="D79" s="1">
        <v>1617</v>
      </c>
      <c r="E79" s="1">
        <v>975051</v>
      </c>
      <c r="F79" s="1">
        <v>698697</v>
      </c>
      <c r="G79" s="1" t="s">
        <v>13</v>
      </c>
      <c r="H79" s="1">
        <f>Table1[[#This Row],[Export_Value_USD]]-Table1[[#This Row],[Export_Cost_USD]]</f>
        <v>276354</v>
      </c>
      <c r="I79" s="1">
        <f>Table1[[#This Row],[Export_Value_USD]]/Table1[[#This Row],[Quantity_Tons]]</f>
        <v>603</v>
      </c>
      <c r="J79" s="1">
        <f>Table1[[#This Row],[Export_Cost_USD]]/Table1[[#This Row],[Quantity_Tons]]</f>
        <v>432.09461966604823</v>
      </c>
    </row>
    <row r="80" spans="1:10" x14ac:dyDescent="0.25">
      <c r="A80" s="1">
        <v>2018</v>
      </c>
      <c r="B80" s="1" t="s">
        <v>22</v>
      </c>
      <c r="C80" s="1" t="s">
        <v>11</v>
      </c>
      <c r="D80" s="1">
        <v>307</v>
      </c>
      <c r="E80" s="1">
        <v>184200</v>
      </c>
      <c r="F80" s="1">
        <v>128345</v>
      </c>
      <c r="G80" s="1" t="s">
        <v>15</v>
      </c>
      <c r="H80" s="1">
        <f>Table1[[#This Row],[Export_Value_USD]]-Table1[[#This Row],[Export_Cost_USD]]</f>
        <v>55855</v>
      </c>
      <c r="I80" s="1">
        <f>Table1[[#This Row],[Export_Value_USD]]/Table1[[#This Row],[Quantity_Tons]]</f>
        <v>600</v>
      </c>
      <c r="J80" s="1">
        <f>Table1[[#This Row],[Export_Cost_USD]]/Table1[[#This Row],[Quantity_Tons]]</f>
        <v>418.06188925081432</v>
      </c>
    </row>
    <row r="81" spans="1:10" x14ac:dyDescent="0.25">
      <c r="A81" s="1">
        <v>2020</v>
      </c>
      <c r="B81" s="1" t="s">
        <v>7</v>
      </c>
      <c r="C81" s="1" t="s">
        <v>23</v>
      </c>
      <c r="D81" s="1">
        <v>1733</v>
      </c>
      <c r="E81" s="1">
        <v>941019</v>
      </c>
      <c r="F81" s="1">
        <v>732983</v>
      </c>
      <c r="G81" s="1" t="s">
        <v>15</v>
      </c>
      <c r="H81" s="1">
        <f>Table1[[#This Row],[Export_Value_USD]]-Table1[[#This Row],[Export_Cost_USD]]</f>
        <v>208036</v>
      </c>
      <c r="I81" s="1">
        <f>Table1[[#This Row],[Export_Value_USD]]/Table1[[#This Row],[Quantity_Tons]]</f>
        <v>543</v>
      </c>
      <c r="J81" s="1">
        <f>Table1[[#This Row],[Export_Cost_USD]]/Table1[[#This Row],[Quantity_Tons]]</f>
        <v>422.95614541257936</v>
      </c>
    </row>
    <row r="82" spans="1:10" x14ac:dyDescent="0.25">
      <c r="A82" s="1">
        <v>2019</v>
      </c>
      <c r="B82" s="1" t="s">
        <v>12</v>
      </c>
      <c r="C82" s="1" t="s">
        <v>21</v>
      </c>
      <c r="D82" s="1">
        <v>1550</v>
      </c>
      <c r="E82" s="1">
        <v>844750</v>
      </c>
      <c r="F82" s="1">
        <v>543979</v>
      </c>
      <c r="G82" s="1" t="s">
        <v>9</v>
      </c>
      <c r="H82" s="1">
        <f>Table1[[#This Row],[Export_Value_USD]]-Table1[[#This Row],[Export_Cost_USD]]</f>
        <v>300771</v>
      </c>
      <c r="I82" s="1">
        <f>Table1[[#This Row],[Export_Value_USD]]/Table1[[#This Row],[Quantity_Tons]]</f>
        <v>545</v>
      </c>
      <c r="J82" s="1">
        <f>Table1[[#This Row],[Export_Cost_USD]]/Table1[[#This Row],[Quantity_Tons]]</f>
        <v>350.95419354838708</v>
      </c>
    </row>
    <row r="83" spans="1:10" x14ac:dyDescent="0.25">
      <c r="A83" s="1">
        <v>2022</v>
      </c>
      <c r="B83" s="1" t="s">
        <v>10</v>
      </c>
      <c r="C83" s="1" t="s">
        <v>20</v>
      </c>
      <c r="D83" s="1">
        <v>907</v>
      </c>
      <c r="E83" s="1">
        <v>539665</v>
      </c>
      <c r="F83" s="1">
        <v>338066</v>
      </c>
      <c r="G83" s="1" t="s">
        <v>15</v>
      </c>
      <c r="H83" s="1">
        <f>Table1[[#This Row],[Export_Value_USD]]-Table1[[#This Row],[Export_Cost_USD]]</f>
        <v>201599</v>
      </c>
      <c r="I83" s="1">
        <f>Table1[[#This Row],[Export_Value_USD]]/Table1[[#This Row],[Quantity_Tons]]</f>
        <v>595</v>
      </c>
      <c r="J83" s="1">
        <f>Table1[[#This Row],[Export_Cost_USD]]/Table1[[#This Row],[Quantity_Tons]]</f>
        <v>372.72987872105841</v>
      </c>
    </row>
    <row r="84" spans="1:10" x14ac:dyDescent="0.25">
      <c r="A84" s="1">
        <v>2021</v>
      </c>
      <c r="B84" s="1" t="s">
        <v>7</v>
      </c>
      <c r="C84" s="1" t="s">
        <v>24</v>
      </c>
      <c r="D84" s="1">
        <v>1122</v>
      </c>
      <c r="E84" s="1">
        <v>615978</v>
      </c>
      <c r="F84" s="1">
        <v>429247</v>
      </c>
      <c r="G84" s="1" t="s">
        <v>9</v>
      </c>
      <c r="H84" s="1">
        <f>Table1[[#This Row],[Export_Value_USD]]-Table1[[#This Row],[Export_Cost_USD]]</f>
        <v>186731</v>
      </c>
      <c r="I84" s="1">
        <f>Table1[[#This Row],[Export_Value_USD]]/Table1[[#This Row],[Quantity_Tons]]</f>
        <v>549</v>
      </c>
      <c r="J84" s="1">
        <f>Table1[[#This Row],[Export_Cost_USD]]/Table1[[#This Row],[Quantity_Tons]]</f>
        <v>382.57308377896612</v>
      </c>
    </row>
    <row r="85" spans="1:10" x14ac:dyDescent="0.25">
      <c r="A85" s="1">
        <v>2018</v>
      </c>
      <c r="B85" s="1" t="s">
        <v>16</v>
      </c>
      <c r="C85" s="1" t="s">
        <v>19</v>
      </c>
      <c r="D85" s="1">
        <v>1600</v>
      </c>
      <c r="E85" s="1">
        <v>1070400</v>
      </c>
      <c r="F85" s="1">
        <v>730474</v>
      </c>
      <c r="G85" s="1" t="s">
        <v>9</v>
      </c>
      <c r="H85" s="1">
        <f>Table1[[#This Row],[Export_Value_USD]]-Table1[[#This Row],[Export_Cost_USD]]</f>
        <v>339926</v>
      </c>
      <c r="I85" s="1">
        <f>Table1[[#This Row],[Export_Value_USD]]/Table1[[#This Row],[Quantity_Tons]]</f>
        <v>669</v>
      </c>
      <c r="J85" s="1">
        <f>Table1[[#This Row],[Export_Cost_USD]]/Table1[[#This Row],[Quantity_Tons]]</f>
        <v>456.54624999999999</v>
      </c>
    </row>
    <row r="86" spans="1:10" x14ac:dyDescent="0.25">
      <c r="A86" s="1">
        <v>2018</v>
      </c>
      <c r="B86" s="1" t="s">
        <v>12</v>
      </c>
      <c r="C86" s="1" t="s">
        <v>21</v>
      </c>
      <c r="D86" s="1">
        <v>992</v>
      </c>
      <c r="E86" s="1">
        <v>599168</v>
      </c>
      <c r="F86" s="1">
        <v>453291</v>
      </c>
      <c r="G86" s="1" t="s">
        <v>13</v>
      </c>
      <c r="H86" s="1">
        <f>Table1[[#This Row],[Export_Value_USD]]-Table1[[#This Row],[Export_Cost_USD]]</f>
        <v>145877</v>
      </c>
      <c r="I86" s="1">
        <f>Table1[[#This Row],[Export_Value_USD]]/Table1[[#This Row],[Quantity_Tons]]</f>
        <v>604</v>
      </c>
      <c r="J86" s="1">
        <f>Table1[[#This Row],[Export_Cost_USD]]/Table1[[#This Row],[Quantity_Tons]]</f>
        <v>456.94657258064518</v>
      </c>
    </row>
    <row r="87" spans="1:10" x14ac:dyDescent="0.25">
      <c r="A87" s="1">
        <v>2022</v>
      </c>
      <c r="B87" s="1" t="s">
        <v>7</v>
      </c>
      <c r="C87" s="1" t="s">
        <v>23</v>
      </c>
      <c r="D87" s="1">
        <v>412</v>
      </c>
      <c r="E87" s="1">
        <v>227836</v>
      </c>
      <c r="F87" s="1">
        <v>180959</v>
      </c>
      <c r="G87" s="1" t="s">
        <v>9</v>
      </c>
      <c r="H87" s="1">
        <f>Table1[[#This Row],[Export_Value_USD]]-Table1[[#This Row],[Export_Cost_USD]]</f>
        <v>46877</v>
      </c>
      <c r="I87" s="1">
        <f>Table1[[#This Row],[Export_Value_USD]]/Table1[[#This Row],[Quantity_Tons]]</f>
        <v>553</v>
      </c>
      <c r="J87" s="1">
        <f>Table1[[#This Row],[Export_Cost_USD]]/Table1[[#This Row],[Quantity_Tons]]</f>
        <v>439.22087378640776</v>
      </c>
    </row>
    <row r="88" spans="1:10" x14ac:dyDescent="0.25">
      <c r="A88" s="1">
        <v>2022</v>
      </c>
      <c r="B88" s="1" t="s">
        <v>12</v>
      </c>
      <c r="C88" s="1" t="s">
        <v>21</v>
      </c>
      <c r="D88" s="1">
        <v>1295</v>
      </c>
      <c r="E88" s="1">
        <v>611240</v>
      </c>
      <c r="F88" s="1">
        <v>469009</v>
      </c>
      <c r="G88" s="1" t="s">
        <v>15</v>
      </c>
      <c r="H88" s="1">
        <f>Table1[[#This Row],[Export_Value_USD]]-Table1[[#This Row],[Export_Cost_USD]]</f>
        <v>142231</v>
      </c>
      <c r="I88" s="1">
        <f>Table1[[#This Row],[Export_Value_USD]]/Table1[[#This Row],[Quantity_Tons]]</f>
        <v>472</v>
      </c>
      <c r="J88" s="1">
        <f>Table1[[#This Row],[Export_Cost_USD]]/Table1[[#This Row],[Quantity_Tons]]</f>
        <v>362.16911196911195</v>
      </c>
    </row>
    <row r="89" spans="1:10" x14ac:dyDescent="0.25">
      <c r="A89" s="1">
        <v>2022</v>
      </c>
      <c r="B89" s="1" t="s">
        <v>22</v>
      </c>
      <c r="C89" s="1" t="s">
        <v>18</v>
      </c>
      <c r="D89" s="1">
        <v>806</v>
      </c>
      <c r="E89" s="1">
        <v>528736</v>
      </c>
      <c r="F89" s="1">
        <v>365702</v>
      </c>
      <c r="G89" s="1" t="s">
        <v>13</v>
      </c>
      <c r="H89" s="1">
        <f>Table1[[#This Row],[Export_Value_USD]]-Table1[[#This Row],[Export_Cost_USD]]</f>
        <v>163034</v>
      </c>
      <c r="I89" s="1">
        <f>Table1[[#This Row],[Export_Value_USD]]/Table1[[#This Row],[Quantity_Tons]]</f>
        <v>656</v>
      </c>
      <c r="J89" s="1">
        <f>Table1[[#This Row],[Export_Cost_USD]]/Table1[[#This Row],[Quantity_Tons]]</f>
        <v>453.72456575682384</v>
      </c>
    </row>
    <row r="90" spans="1:10" x14ac:dyDescent="0.25">
      <c r="A90" s="1">
        <v>2019</v>
      </c>
      <c r="B90" s="1" t="s">
        <v>12</v>
      </c>
      <c r="C90" s="1" t="s">
        <v>19</v>
      </c>
      <c r="D90" s="1">
        <v>1285</v>
      </c>
      <c r="E90" s="1">
        <v>853240</v>
      </c>
      <c r="F90" s="1">
        <v>593955</v>
      </c>
      <c r="G90" s="1" t="s">
        <v>15</v>
      </c>
      <c r="H90" s="1">
        <f>Table1[[#This Row],[Export_Value_USD]]-Table1[[#This Row],[Export_Cost_USD]]</f>
        <v>259285</v>
      </c>
      <c r="I90" s="1">
        <f>Table1[[#This Row],[Export_Value_USD]]/Table1[[#This Row],[Quantity_Tons]]</f>
        <v>664</v>
      </c>
      <c r="J90" s="1">
        <f>Table1[[#This Row],[Export_Cost_USD]]/Table1[[#This Row],[Quantity_Tons]]</f>
        <v>462.22178988326846</v>
      </c>
    </row>
    <row r="91" spans="1:10" x14ac:dyDescent="0.25">
      <c r="A91" s="1">
        <v>2019</v>
      </c>
      <c r="B91" s="1" t="s">
        <v>17</v>
      </c>
      <c r="C91" s="1" t="s">
        <v>19</v>
      </c>
      <c r="D91" s="1">
        <v>273</v>
      </c>
      <c r="E91" s="1">
        <v>157248</v>
      </c>
      <c r="F91" s="1">
        <v>116378</v>
      </c>
      <c r="G91" s="1" t="s">
        <v>15</v>
      </c>
      <c r="H91" s="1">
        <f>Table1[[#This Row],[Export_Value_USD]]-Table1[[#This Row],[Export_Cost_USD]]</f>
        <v>40870</v>
      </c>
      <c r="I91" s="1">
        <f>Table1[[#This Row],[Export_Value_USD]]/Table1[[#This Row],[Quantity_Tons]]</f>
        <v>576</v>
      </c>
      <c r="J91" s="1">
        <f>Table1[[#This Row],[Export_Cost_USD]]/Table1[[#This Row],[Quantity_Tons]]</f>
        <v>426.29304029304029</v>
      </c>
    </row>
    <row r="92" spans="1:10" x14ac:dyDescent="0.25">
      <c r="A92" s="1">
        <v>2021</v>
      </c>
      <c r="B92" s="1" t="s">
        <v>22</v>
      </c>
      <c r="C92" s="1" t="s">
        <v>19</v>
      </c>
      <c r="D92" s="1">
        <v>1902</v>
      </c>
      <c r="E92" s="1">
        <v>1091748</v>
      </c>
      <c r="F92" s="1">
        <v>804002</v>
      </c>
      <c r="G92" s="1" t="s">
        <v>13</v>
      </c>
      <c r="H92" s="1">
        <f>Table1[[#This Row],[Export_Value_USD]]-Table1[[#This Row],[Export_Cost_USD]]</f>
        <v>287746</v>
      </c>
      <c r="I92" s="1">
        <f>Table1[[#This Row],[Export_Value_USD]]/Table1[[#This Row],[Quantity_Tons]]</f>
        <v>574</v>
      </c>
      <c r="J92" s="1">
        <f>Table1[[#This Row],[Export_Cost_USD]]/Table1[[#This Row],[Quantity_Tons]]</f>
        <v>422.71398527865404</v>
      </c>
    </row>
    <row r="93" spans="1:10" x14ac:dyDescent="0.25">
      <c r="A93" s="1">
        <v>2019</v>
      </c>
      <c r="B93" s="1" t="s">
        <v>16</v>
      </c>
      <c r="C93" s="1" t="s">
        <v>23</v>
      </c>
      <c r="D93" s="1">
        <v>1973</v>
      </c>
      <c r="E93" s="1">
        <v>1148286</v>
      </c>
      <c r="F93" s="1">
        <v>723621</v>
      </c>
      <c r="G93" s="1" t="s">
        <v>9</v>
      </c>
      <c r="H93" s="1">
        <f>Table1[[#This Row],[Export_Value_USD]]-Table1[[#This Row],[Export_Cost_USD]]</f>
        <v>424665</v>
      </c>
      <c r="I93" s="1">
        <f>Table1[[#This Row],[Export_Value_USD]]/Table1[[#This Row],[Quantity_Tons]]</f>
        <v>582</v>
      </c>
      <c r="J93" s="1">
        <f>Table1[[#This Row],[Export_Cost_USD]]/Table1[[#This Row],[Quantity_Tons]]</f>
        <v>366.76178408514954</v>
      </c>
    </row>
    <row r="94" spans="1:10" x14ac:dyDescent="0.25">
      <c r="A94" s="1">
        <v>2020</v>
      </c>
      <c r="B94" s="1" t="s">
        <v>22</v>
      </c>
      <c r="C94" s="1" t="s">
        <v>14</v>
      </c>
      <c r="D94" s="1">
        <v>1424</v>
      </c>
      <c r="E94" s="1">
        <v>737632</v>
      </c>
      <c r="F94" s="1">
        <v>556453</v>
      </c>
      <c r="G94" s="1" t="s">
        <v>13</v>
      </c>
      <c r="H94" s="1">
        <f>Table1[[#This Row],[Export_Value_USD]]-Table1[[#This Row],[Export_Cost_USD]]</f>
        <v>181179</v>
      </c>
      <c r="I94" s="1">
        <f>Table1[[#This Row],[Export_Value_USD]]/Table1[[#This Row],[Quantity_Tons]]</f>
        <v>518</v>
      </c>
      <c r="J94" s="1">
        <f>Table1[[#This Row],[Export_Cost_USD]]/Table1[[#This Row],[Quantity_Tons]]</f>
        <v>390.76755617977528</v>
      </c>
    </row>
    <row r="95" spans="1:10" x14ac:dyDescent="0.25">
      <c r="A95" s="1">
        <v>2022</v>
      </c>
      <c r="B95" s="1" t="s">
        <v>22</v>
      </c>
      <c r="C95" s="1" t="s">
        <v>14</v>
      </c>
      <c r="D95" s="1">
        <v>744</v>
      </c>
      <c r="E95" s="1">
        <v>382416</v>
      </c>
      <c r="F95" s="1">
        <v>251641</v>
      </c>
      <c r="G95" s="1" t="s">
        <v>15</v>
      </c>
      <c r="H95" s="1">
        <f>Table1[[#This Row],[Export_Value_USD]]-Table1[[#This Row],[Export_Cost_USD]]</f>
        <v>130775</v>
      </c>
      <c r="I95" s="1">
        <f>Table1[[#This Row],[Export_Value_USD]]/Table1[[#This Row],[Quantity_Tons]]</f>
        <v>514</v>
      </c>
      <c r="J95" s="1">
        <f>Table1[[#This Row],[Export_Cost_USD]]/Table1[[#This Row],[Quantity_Tons]]</f>
        <v>338.22715053763443</v>
      </c>
    </row>
    <row r="96" spans="1:10" x14ac:dyDescent="0.25">
      <c r="A96" s="1">
        <v>2020</v>
      </c>
      <c r="B96" s="1" t="s">
        <v>16</v>
      </c>
      <c r="C96" s="1" t="s">
        <v>24</v>
      </c>
      <c r="D96" s="1">
        <v>1191</v>
      </c>
      <c r="E96" s="1">
        <v>528804</v>
      </c>
      <c r="F96" s="1">
        <v>348725</v>
      </c>
      <c r="G96" s="1" t="s">
        <v>9</v>
      </c>
      <c r="H96" s="1">
        <f>Table1[[#This Row],[Export_Value_USD]]-Table1[[#This Row],[Export_Cost_USD]]</f>
        <v>180079</v>
      </c>
      <c r="I96" s="1">
        <f>Table1[[#This Row],[Export_Value_USD]]/Table1[[#This Row],[Quantity_Tons]]</f>
        <v>444</v>
      </c>
      <c r="J96" s="1">
        <f>Table1[[#This Row],[Export_Cost_USD]]/Table1[[#This Row],[Quantity_Tons]]</f>
        <v>292.80016792611252</v>
      </c>
    </row>
    <row r="97" spans="1:10" x14ac:dyDescent="0.25">
      <c r="A97" s="1">
        <v>2019</v>
      </c>
      <c r="B97" s="1" t="s">
        <v>12</v>
      </c>
      <c r="C97" s="1" t="s">
        <v>18</v>
      </c>
      <c r="D97" s="1">
        <v>1384</v>
      </c>
      <c r="E97" s="1">
        <v>632488</v>
      </c>
      <c r="F97" s="1">
        <v>413811</v>
      </c>
      <c r="G97" s="1" t="s">
        <v>15</v>
      </c>
      <c r="H97" s="1">
        <f>Table1[[#This Row],[Export_Value_USD]]-Table1[[#This Row],[Export_Cost_USD]]</f>
        <v>218677</v>
      </c>
      <c r="I97" s="1">
        <f>Table1[[#This Row],[Export_Value_USD]]/Table1[[#This Row],[Quantity_Tons]]</f>
        <v>457</v>
      </c>
      <c r="J97" s="1">
        <f>Table1[[#This Row],[Export_Cost_USD]]/Table1[[#This Row],[Quantity_Tons]]</f>
        <v>298.99638728323697</v>
      </c>
    </row>
    <row r="98" spans="1:10" x14ac:dyDescent="0.25">
      <c r="A98" s="1">
        <v>2021</v>
      </c>
      <c r="B98" s="1" t="s">
        <v>10</v>
      </c>
      <c r="C98" s="1" t="s">
        <v>18</v>
      </c>
      <c r="D98" s="1">
        <v>635</v>
      </c>
      <c r="E98" s="1">
        <v>304165</v>
      </c>
      <c r="F98" s="1">
        <v>195531</v>
      </c>
      <c r="G98" s="1" t="s">
        <v>9</v>
      </c>
      <c r="H98" s="1">
        <f>Table1[[#This Row],[Export_Value_USD]]-Table1[[#This Row],[Export_Cost_USD]]</f>
        <v>108634</v>
      </c>
      <c r="I98" s="1">
        <f>Table1[[#This Row],[Export_Value_USD]]/Table1[[#This Row],[Quantity_Tons]]</f>
        <v>479</v>
      </c>
      <c r="J98" s="1">
        <f>Table1[[#This Row],[Export_Cost_USD]]/Table1[[#This Row],[Quantity_Tons]]</f>
        <v>307.9228346456693</v>
      </c>
    </row>
    <row r="99" spans="1:10" x14ac:dyDescent="0.25">
      <c r="A99" s="1">
        <v>2018</v>
      </c>
      <c r="B99" s="1" t="s">
        <v>10</v>
      </c>
      <c r="C99" s="1" t="s">
        <v>19</v>
      </c>
      <c r="D99" s="1">
        <v>1071</v>
      </c>
      <c r="E99" s="1">
        <v>636174</v>
      </c>
      <c r="F99" s="1">
        <v>476783</v>
      </c>
      <c r="G99" s="1" t="s">
        <v>15</v>
      </c>
      <c r="H99" s="1">
        <f>Table1[[#This Row],[Export_Value_USD]]-Table1[[#This Row],[Export_Cost_USD]]</f>
        <v>159391</v>
      </c>
      <c r="I99" s="1">
        <f>Table1[[#This Row],[Export_Value_USD]]/Table1[[#This Row],[Quantity_Tons]]</f>
        <v>594</v>
      </c>
      <c r="J99" s="1">
        <f>Table1[[#This Row],[Export_Cost_USD]]/Table1[[#This Row],[Quantity_Tons]]</f>
        <v>445.17553688141925</v>
      </c>
    </row>
    <row r="100" spans="1:10" x14ac:dyDescent="0.25">
      <c r="A100" s="1">
        <v>2023</v>
      </c>
      <c r="B100" s="1" t="s">
        <v>22</v>
      </c>
      <c r="C100" s="1" t="s">
        <v>8</v>
      </c>
      <c r="D100" s="1">
        <v>810</v>
      </c>
      <c r="E100" s="1">
        <v>549180</v>
      </c>
      <c r="F100" s="1">
        <v>356413</v>
      </c>
      <c r="G100" s="1" t="s">
        <v>15</v>
      </c>
      <c r="H100" s="1">
        <f>Table1[[#This Row],[Export_Value_USD]]-Table1[[#This Row],[Export_Cost_USD]]</f>
        <v>192767</v>
      </c>
      <c r="I100" s="1">
        <f>Table1[[#This Row],[Export_Value_USD]]/Table1[[#This Row],[Quantity_Tons]]</f>
        <v>678</v>
      </c>
      <c r="J100" s="1">
        <f>Table1[[#This Row],[Export_Cost_USD]]/Table1[[#This Row],[Quantity_Tons]]</f>
        <v>440.01604938271606</v>
      </c>
    </row>
    <row r="101" spans="1:10" x14ac:dyDescent="0.25">
      <c r="A101" s="1">
        <v>2023</v>
      </c>
      <c r="B101" s="1" t="s">
        <v>16</v>
      </c>
      <c r="C101" s="1" t="s">
        <v>11</v>
      </c>
      <c r="D101" s="1">
        <v>414</v>
      </c>
      <c r="E101" s="1">
        <v>178020</v>
      </c>
      <c r="F101" s="1">
        <v>132559</v>
      </c>
      <c r="G101" s="1" t="s">
        <v>9</v>
      </c>
      <c r="H101" s="1">
        <f>Table1[[#This Row],[Export_Value_USD]]-Table1[[#This Row],[Export_Cost_USD]]</f>
        <v>45461</v>
      </c>
      <c r="I101" s="1">
        <f>Table1[[#This Row],[Export_Value_USD]]/Table1[[#This Row],[Quantity_Tons]]</f>
        <v>430</v>
      </c>
      <c r="J101" s="1">
        <f>Table1[[#This Row],[Export_Cost_USD]]/Table1[[#This Row],[Quantity_Tons]]</f>
        <v>320.19082125603865</v>
      </c>
    </row>
    <row r="102" spans="1:10" x14ac:dyDescent="0.25">
      <c r="A102" s="1">
        <v>2023</v>
      </c>
      <c r="B102" s="1" t="s">
        <v>22</v>
      </c>
      <c r="C102" s="1" t="s">
        <v>21</v>
      </c>
      <c r="D102" s="1">
        <v>291</v>
      </c>
      <c r="E102" s="1">
        <v>134151</v>
      </c>
      <c r="F102" s="1">
        <v>106292</v>
      </c>
      <c r="G102" s="1" t="s">
        <v>9</v>
      </c>
      <c r="H102" s="1">
        <f>Table1[[#This Row],[Export_Value_USD]]-Table1[[#This Row],[Export_Cost_USD]]</f>
        <v>27859</v>
      </c>
      <c r="I102" s="1">
        <f>Table1[[#This Row],[Export_Value_USD]]/Table1[[#This Row],[Quantity_Tons]]</f>
        <v>461</v>
      </c>
      <c r="J102" s="1">
        <f>Table1[[#This Row],[Export_Cost_USD]]/Table1[[#This Row],[Quantity_Tons]]</f>
        <v>365.26460481099656</v>
      </c>
    </row>
    <row r="103" spans="1:10" x14ac:dyDescent="0.25">
      <c r="A103" s="1">
        <v>2019</v>
      </c>
      <c r="B103" s="1" t="s">
        <v>22</v>
      </c>
      <c r="C103" s="1" t="s">
        <v>11</v>
      </c>
      <c r="D103" s="1">
        <v>806</v>
      </c>
      <c r="E103" s="1">
        <v>324818</v>
      </c>
      <c r="F103" s="1">
        <v>242321</v>
      </c>
      <c r="G103" s="1" t="s">
        <v>9</v>
      </c>
      <c r="H103" s="1">
        <f>Table1[[#This Row],[Export_Value_USD]]-Table1[[#This Row],[Export_Cost_USD]]</f>
        <v>82497</v>
      </c>
      <c r="I103" s="1">
        <f>Table1[[#This Row],[Export_Value_USD]]/Table1[[#This Row],[Quantity_Tons]]</f>
        <v>403</v>
      </c>
      <c r="J103" s="1">
        <f>Table1[[#This Row],[Export_Cost_USD]]/Table1[[#This Row],[Quantity_Tons]]</f>
        <v>300.64640198511165</v>
      </c>
    </row>
    <row r="104" spans="1:10" x14ac:dyDescent="0.25">
      <c r="A104" s="1">
        <v>2022</v>
      </c>
      <c r="B104" s="1" t="s">
        <v>17</v>
      </c>
      <c r="C104" s="1" t="s">
        <v>21</v>
      </c>
      <c r="D104" s="1">
        <v>1685</v>
      </c>
      <c r="E104" s="1">
        <v>844185</v>
      </c>
      <c r="F104" s="1">
        <v>634740</v>
      </c>
      <c r="G104" s="1" t="s">
        <v>9</v>
      </c>
      <c r="H104" s="1">
        <f>Table1[[#This Row],[Export_Value_USD]]-Table1[[#This Row],[Export_Cost_USD]]</f>
        <v>209445</v>
      </c>
      <c r="I104" s="1">
        <f>Table1[[#This Row],[Export_Value_USD]]/Table1[[#This Row],[Quantity_Tons]]</f>
        <v>501</v>
      </c>
      <c r="J104" s="1">
        <f>Table1[[#This Row],[Export_Cost_USD]]/Table1[[#This Row],[Quantity_Tons]]</f>
        <v>376.70029673590506</v>
      </c>
    </row>
    <row r="105" spans="1:10" x14ac:dyDescent="0.25">
      <c r="A105" s="1">
        <v>2018</v>
      </c>
      <c r="B105" s="1" t="s">
        <v>17</v>
      </c>
      <c r="C105" s="1" t="s">
        <v>14</v>
      </c>
      <c r="D105" s="1">
        <v>1827</v>
      </c>
      <c r="E105" s="1">
        <v>1222263</v>
      </c>
      <c r="F105" s="1">
        <v>844389</v>
      </c>
      <c r="G105" s="1" t="s">
        <v>13</v>
      </c>
      <c r="H105" s="1">
        <f>Table1[[#This Row],[Export_Value_USD]]-Table1[[#This Row],[Export_Cost_USD]]</f>
        <v>377874</v>
      </c>
      <c r="I105" s="1">
        <f>Table1[[#This Row],[Export_Value_USD]]/Table1[[#This Row],[Quantity_Tons]]</f>
        <v>669</v>
      </c>
      <c r="J105" s="1">
        <f>Table1[[#This Row],[Export_Cost_USD]]/Table1[[#This Row],[Quantity_Tons]]</f>
        <v>462.17241379310343</v>
      </c>
    </row>
    <row r="106" spans="1:10" x14ac:dyDescent="0.25">
      <c r="A106" s="1">
        <v>2018</v>
      </c>
      <c r="B106" s="1" t="s">
        <v>10</v>
      </c>
      <c r="C106" s="1" t="s">
        <v>11</v>
      </c>
      <c r="D106" s="1">
        <v>345</v>
      </c>
      <c r="E106" s="1">
        <v>190095</v>
      </c>
      <c r="F106" s="1">
        <v>138042</v>
      </c>
      <c r="G106" s="1" t="s">
        <v>13</v>
      </c>
      <c r="H106" s="1">
        <f>Table1[[#This Row],[Export_Value_USD]]-Table1[[#This Row],[Export_Cost_USD]]</f>
        <v>52053</v>
      </c>
      <c r="I106" s="1">
        <f>Table1[[#This Row],[Export_Value_USD]]/Table1[[#This Row],[Quantity_Tons]]</f>
        <v>551</v>
      </c>
      <c r="J106" s="1">
        <f>Table1[[#This Row],[Export_Cost_USD]]/Table1[[#This Row],[Quantity_Tons]]</f>
        <v>400.12173913043478</v>
      </c>
    </row>
    <row r="107" spans="1:10" x14ac:dyDescent="0.25">
      <c r="A107" s="1">
        <v>2019</v>
      </c>
      <c r="B107" s="1" t="s">
        <v>17</v>
      </c>
      <c r="C107" s="1" t="s">
        <v>23</v>
      </c>
      <c r="D107" s="1">
        <v>793</v>
      </c>
      <c r="E107" s="1">
        <v>478179</v>
      </c>
      <c r="F107" s="1">
        <v>307490</v>
      </c>
      <c r="G107" s="1" t="s">
        <v>9</v>
      </c>
      <c r="H107" s="1">
        <f>Table1[[#This Row],[Export_Value_USD]]-Table1[[#This Row],[Export_Cost_USD]]</f>
        <v>170689</v>
      </c>
      <c r="I107" s="1">
        <f>Table1[[#This Row],[Export_Value_USD]]/Table1[[#This Row],[Quantity_Tons]]</f>
        <v>603</v>
      </c>
      <c r="J107" s="1">
        <f>Table1[[#This Row],[Export_Cost_USD]]/Table1[[#This Row],[Quantity_Tons]]</f>
        <v>387.75535939470365</v>
      </c>
    </row>
    <row r="108" spans="1:10" x14ac:dyDescent="0.25">
      <c r="A108" s="1">
        <v>2020</v>
      </c>
      <c r="B108" s="1" t="s">
        <v>7</v>
      </c>
      <c r="C108" s="1" t="s">
        <v>24</v>
      </c>
      <c r="D108" s="1">
        <v>1628</v>
      </c>
      <c r="E108" s="1">
        <v>1100528</v>
      </c>
      <c r="F108" s="1">
        <v>791688</v>
      </c>
      <c r="G108" s="1" t="s">
        <v>9</v>
      </c>
      <c r="H108" s="1">
        <f>Table1[[#This Row],[Export_Value_USD]]-Table1[[#This Row],[Export_Cost_USD]]</f>
        <v>308840</v>
      </c>
      <c r="I108" s="1">
        <f>Table1[[#This Row],[Export_Value_USD]]/Table1[[#This Row],[Quantity_Tons]]</f>
        <v>676</v>
      </c>
      <c r="J108" s="1">
        <f>Table1[[#This Row],[Export_Cost_USD]]/Table1[[#This Row],[Quantity_Tons]]</f>
        <v>486.2948402948403</v>
      </c>
    </row>
    <row r="109" spans="1:10" x14ac:dyDescent="0.25">
      <c r="A109" s="1">
        <v>2019</v>
      </c>
      <c r="B109" s="1" t="s">
        <v>17</v>
      </c>
      <c r="C109" s="1" t="s">
        <v>23</v>
      </c>
      <c r="D109" s="1">
        <v>832</v>
      </c>
      <c r="E109" s="1">
        <v>337792</v>
      </c>
      <c r="F109" s="1">
        <v>224589</v>
      </c>
      <c r="G109" s="1" t="s">
        <v>15</v>
      </c>
      <c r="H109" s="1">
        <f>Table1[[#This Row],[Export_Value_USD]]-Table1[[#This Row],[Export_Cost_USD]]</f>
        <v>113203</v>
      </c>
      <c r="I109" s="1">
        <f>Table1[[#This Row],[Export_Value_USD]]/Table1[[#This Row],[Quantity_Tons]]</f>
        <v>406</v>
      </c>
      <c r="J109" s="1">
        <f>Table1[[#This Row],[Export_Cost_USD]]/Table1[[#This Row],[Quantity_Tons]]</f>
        <v>269.93870192307691</v>
      </c>
    </row>
    <row r="110" spans="1:10" x14ac:dyDescent="0.25">
      <c r="A110" s="1">
        <v>2021</v>
      </c>
      <c r="B110" s="1" t="s">
        <v>22</v>
      </c>
      <c r="C110" s="1" t="s">
        <v>8</v>
      </c>
      <c r="D110" s="1">
        <v>377</v>
      </c>
      <c r="E110" s="1">
        <v>185484</v>
      </c>
      <c r="F110" s="1">
        <v>124856</v>
      </c>
      <c r="G110" s="1" t="s">
        <v>15</v>
      </c>
      <c r="H110" s="1">
        <f>Table1[[#This Row],[Export_Value_USD]]-Table1[[#This Row],[Export_Cost_USD]]</f>
        <v>60628</v>
      </c>
      <c r="I110" s="1">
        <f>Table1[[#This Row],[Export_Value_USD]]/Table1[[#This Row],[Quantity_Tons]]</f>
        <v>492</v>
      </c>
      <c r="J110" s="1">
        <f>Table1[[#This Row],[Export_Cost_USD]]/Table1[[#This Row],[Quantity_Tons]]</f>
        <v>331.18302387267903</v>
      </c>
    </row>
    <row r="111" spans="1:10" x14ac:dyDescent="0.25">
      <c r="A111" s="1">
        <v>2021</v>
      </c>
      <c r="B111" s="1" t="s">
        <v>22</v>
      </c>
      <c r="C111" s="1" t="s">
        <v>19</v>
      </c>
      <c r="D111" s="1">
        <v>318</v>
      </c>
      <c r="E111" s="1">
        <v>196524</v>
      </c>
      <c r="F111" s="1">
        <v>147146</v>
      </c>
      <c r="G111" s="1" t="s">
        <v>13</v>
      </c>
      <c r="H111" s="1">
        <f>Table1[[#This Row],[Export_Value_USD]]-Table1[[#This Row],[Export_Cost_USD]]</f>
        <v>49378</v>
      </c>
      <c r="I111" s="1">
        <f>Table1[[#This Row],[Export_Value_USD]]/Table1[[#This Row],[Quantity_Tons]]</f>
        <v>618</v>
      </c>
      <c r="J111" s="1">
        <f>Table1[[#This Row],[Export_Cost_USD]]/Table1[[#This Row],[Quantity_Tons]]</f>
        <v>462.72327044025155</v>
      </c>
    </row>
    <row r="112" spans="1:10" x14ac:dyDescent="0.25">
      <c r="A112" s="1">
        <v>2021</v>
      </c>
      <c r="B112" s="1" t="s">
        <v>16</v>
      </c>
      <c r="C112" s="1" t="s">
        <v>23</v>
      </c>
      <c r="D112" s="1">
        <v>530</v>
      </c>
      <c r="E112" s="1">
        <v>289910</v>
      </c>
      <c r="F112" s="1">
        <v>224008</v>
      </c>
      <c r="G112" s="1" t="s">
        <v>9</v>
      </c>
      <c r="H112" s="1">
        <f>Table1[[#This Row],[Export_Value_USD]]-Table1[[#This Row],[Export_Cost_USD]]</f>
        <v>65902</v>
      </c>
      <c r="I112" s="1">
        <f>Table1[[#This Row],[Export_Value_USD]]/Table1[[#This Row],[Quantity_Tons]]</f>
        <v>547</v>
      </c>
      <c r="J112" s="1">
        <f>Table1[[#This Row],[Export_Cost_USD]]/Table1[[#This Row],[Quantity_Tons]]</f>
        <v>422.65660377358489</v>
      </c>
    </row>
    <row r="113" spans="1:10" x14ac:dyDescent="0.25">
      <c r="A113" s="1">
        <v>2018</v>
      </c>
      <c r="B113" s="1" t="s">
        <v>22</v>
      </c>
      <c r="C113" s="1" t="s">
        <v>24</v>
      </c>
      <c r="D113" s="1">
        <v>848</v>
      </c>
      <c r="E113" s="1">
        <v>362096</v>
      </c>
      <c r="F113" s="1">
        <v>226940</v>
      </c>
      <c r="G113" s="1" t="s">
        <v>13</v>
      </c>
      <c r="H113" s="1">
        <f>Table1[[#This Row],[Export_Value_USD]]-Table1[[#This Row],[Export_Cost_USD]]</f>
        <v>135156</v>
      </c>
      <c r="I113" s="1">
        <f>Table1[[#This Row],[Export_Value_USD]]/Table1[[#This Row],[Quantity_Tons]]</f>
        <v>427</v>
      </c>
      <c r="J113" s="1">
        <f>Table1[[#This Row],[Export_Cost_USD]]/Table1[[#This Row],[Quantity_Tons]]</f>
        <v>267.6179245283019</v>
      </c>
    </row>
    <row r="114" spans="1:10" x14ac:dyDescent="0.25">
      <c r="A114" s="1">
        <v>2020</v>
      </c>
      <c r="B114" s="1" t="s">
        <v>12</v>
      </c>
      <c r="C114" s="1" t="s">
        <v>18</v>
      </c>
      <c r="D114" s="1">
        <v>1661</v>
      </c>
      <c r="E114" s="1">
        <v>1102904</v>
      </c>
      <c r="F114" s="1">
        <v>781081</v>
      </c>
      <c r="G114" s="1" t="s">
        <v>9</v>
      </c>
      <c r="H114" s="1">
        <f>Table1[[#This Row],[Export_Value_USD]]-Table1[[#This Row],[Export_Cost_USD]]</f>
        <v>321823</v>
      </c>
      <c r="I114" s="1">
        <f>Table1[[#This Row],[Export_Value_USD]]/Table1[[#This Row],[Quantity_Tons]]</f>
        <v>664</v>
      </c>
      <c r="J114" s="1">
        <f>Table1[[#This Row],[Export_Cost_USD]]/Table1[[#This Row],[Quantity_Tons]]</f>
        <v>470.24744130042143</v>
      </c>
    </row>
    <row r="115" spans="1:10" x14ac:dyDescent="0.25">
      <c r="A115" s="1">
        <v>2022</v>
      </c>
      <c r="B115" s="1" t="s">
        <v>10</v>
      </c>
      <c r="C115" s="1" t="s">
        <v>23</v>
      </c>
      <c r="D115" s="1">
        <v>954</v>
      </c>
      <c r="E115" s="1">
        <v>625824</v>
      </c>
      <c r="F115" s="1">
        <v>386296</v>
      </c>
      <c r="G115" s="1" t="s">
        <v>15</v>
      </c>
      <c r="H115" s="1">
        <f>Table1[[#This Row],[Export_Value_USD]]-Table1[[#This Row],[Export_Cost_USD]]</f>
        <v>239528</v>
      </c>
      <c r="I115" s="1">
        <f>Table1[[#This Row],[Export_Value_USD]]/Table1[[#This Row],[Quantity_Tons]]</f>
        <v>656</v>
      </c>
      <c r="J115" s="1">
        <f>Table1[[#This Row],[Export_Cost_USD]]/Table1[[#This Row],[Quantity_Tons]]</f>
        <v>404.92243186582812</v>
      </c>
    </row>
    <row r="116" spans="1:10" x14ac:dyDescent="0.25">
      <c r="A116" s="1">
        <v>2022</v>
      </c>
      <c r="B116" s="1" t="s">
        <v>12</v>
      </c>
      <c r="C116" s="1" t="s">
        <v>11</v>
      </c>
      <c r="D116" s="1">
        <v>1085</v>
      </c>
      <c r="E116" s="1">
        <v>609770</v>
      </c>
      <c r="F116" s="1">
        <v>419620</v>
      </c>
      <c r="G116" s="1" t="s">
        <v>9</v>
      </c>
      <c r="H116" s="1">
        <f>Table1[[#This Row],[Export_Value_USD]]-Table1[[#This Row],[Export_Cost_USD]]</f>
        <v>190150</v>
      </c>
      <c r="I116" s="1">
        <f>Table1[[#This Row],[Export_Value_USD]]/Table1[[#This Row],[Quantity_Tons]]</f>
        <v>562</v>
      </c>
      <c r="J116" s="1">
        <f>Table1[[#This Row],[Export_Cost_USD]]/Table1[[#This Row],[Quantity_Tons]]</f>
        <v>386.74654377880182</v>
      </c>
    </row>
    <row r="117" spans="1:10" x14ac:dyDescent="0.25">
      <c r="A117" s="1">
        <v>2021</v>
      </c>
      <c r="B117" s="1" t="s">
        <v>17</v>
      </c>
      <c r="C117" s="1" t="s">
        <v>18</v>
      </c>
      <c r="D117" s="1">
        <v>402</v>
      </c>
      <c r="E117" s="1">
        <v>194166</v>
      </c>
      <c r="F117" s="1">
        <v>143720</v>
      </c>
      <c r="G117" s="1" t="s">
        <v>13</v>
      </c>
      <c r="H117" s="1">
        <f>Table1[[#This Row],[Export_Value_USD]]-Table1[[#This Row],[Export_Cost_USD]]</f>
        <v>50446</v>
      </c>
      <c r="I117" s="1">
        <f>Table1[[#This Row],[Export_Value_USD]]/Table1[[#This Row],[Quantity_Tons]]</f>
        <v>483</v>
      </c>
      <c r="J117" s="1">
        <f>Table1[[#This Row],[Export_Cost_USD]]/Table1[[#This Row],[Quantity_Tons]]</f>
        <v>357.5124378109453</v>
      </c>
    </row>
    <row r="118" spans="1:10" x14ac:dyDescent="0.25">
      <c r="A118" s="1">
        <v>2019</v>
      </c>
      <c r="B118" s="1" t="s">
        <v>16</v>
      </c>
      <c r="C118" s="1" t="s">
        <v>11</v>
      </c>
      <c r="D118" s="1">
        <v>474</v>
      </c>
      <c r="E118" s="1">
        <v>198606</v>
      </c>
      <c r="F118" s="1">
        <v>141917</v>
      </c>
      <c r="G118" s="1" t="s">
        <v>15</v>
      </c>
      <c r="H118" s="1">
        <f>Table1[[#This Row],[Export_Value_USD]]-Table1[[#This Row],[Export_Cost_USD]]</f>
        <v>56689</v>
      </c>
      <c r="I118" s="1">
        <f>Table1[[#This Row],[Export_Value_USD]]/Table1[[#This Row],[Quantity_Tons]]</f>
        <v>419</v>
      </c>
      <c r="J118" s="1">
        <f>Table1[[#This Row],[Export_Cost_USD]]/Table1[[#This Row],[Quantity_Tons]]</f>
        <v>299.40295358649792</v>
      </c>
    </row>
    <row r="119" spans="1:10" x14ac:dyDescent="0.25">
      <c r="A119" s="1">
        <v>2018</v>
      </c>
      <c r="B119" s="1" t="s">
        <v>10</v>
      </c>
      <c r="C119" s="1" t="s">
        <v>20</v>
      </c>
      <c r="D119" s="1">
        <v>878</v>
      </c>
      <c r="E119" s="1">
        <v>592650</v>
      </c>
      <c r="F119" s="1">
        <v>373214</v>
      </c>
      <c r="G119" s="1" t="s">
        <v>13</v>
      </c>
      <c r="H119" s="1">
        <f>Table1[[#This Row],[Export_Value_USD]]-Table1[[#This Row],[Export_Cost_USD]]</f>
        <v>219436</v>
      </c>
      <c r="I119" s="1">
        <f>Table1[[#This Row],[Export_Value_USD]]/Table1[[#This Row],[Quantity_Tons]]</f>
        <v>675</v>
      </c>
      <c r="J119" s="1">
        <f>Table1[[#This Row],[Export_Cost_USD]]/Table1[[#This Row],[Quantity_Tons]]</f>
        <v>425.07289293849658</v>
      </c>
    </row>
    <row r="120" spans="1:10" x14ac:dyDescent="0.25">
      <c r="A120" s="1">
        <v>2018</v>
      </c>
      <c r="B120" s="1" t="s">
        <v>16</v>
      </c>
      <c r="C120" s="1" t="s">
        <v>23</v>
      </c>
      <c r="D120" s="1">
        <v>1868</v>
      </c>
      <c r="E120" s="1">
        <v>999380</v>
      </c>
      <c r="F120" s="1">
        <v>697903</v>
      </c>
      <c r="G120" s="1" t="s">
        <v>15</v>
      </c>
      <c r="H120" s="1">
        <f>Table1[[#This Row],[Export_Value_USD]]-Table1[[#This Row],[Export_Cost_USD]]</f>
        <v>301477</v>
      </c>
      <c r="I120" s="1">
        <f>Table1[[#This Row],[Export_Value_USD]]/Table1[[#This Row],[Quantity_Tons]]</f>
        <v>535</v>
      </c>
      <c r="J120" s="1">
        <f>Table1[[#This Row],[Export_Cost_USD]]/Table1[[#This Row],[Quantity_Tons]]</f>
        <v>373.6097430406852</v>
      </c>
    </row>
    <row r="121" spans="1:10" x14ac:dyDescent="0.25">
      <c r="A121" s="1">
        <v>2022</v>
      </c>
      <c r="B121" s="1" t="s">
        <v>17</v>
      </c>
      <c r="C121" s="1" t="s">
        <v>14</v>
      </c>
      <c r="D121" s="1">
        <v>1601</v>
      </c>
      <c r="E121" s="1">
        <v>675622</v>
      </c>
      <c r="F121" s="1">
        <v>481784</v>
      </c>
      <c r="G121" s="1" t="s">
        <v>15</v>
      </c>
      <c r="H121" s="1">
        <f>Table1[[#This Row],[Export_Value_USD]]-Table1[[#This Row],[Export_Cost_USD]]</f>
        <v>193838</v>
      </c>
      <c r="I121" s="1">
        <f>Table1[[#This Row],[Export_Value_USD]]/Table1[[#This Row],[Quantity_Tons]]</f>
        <v>422</v>
      </c>
      <c r="J121" s="1">
        <f>Table1[[#This Row],[Export_Cost_USD]]/Table1[[#This Row],[Quantity_Tons]]</f>
        <v>300.92692067457841</v>
      </c>
    </row>
    <row r="122" spans="1:10" x14ac:dyDescent="0.25">
      <c r="A122" s="1">
        <v>2023</v>
      </c>
      <c r="B122" s="1" t="s">
        <v>7</v>
      </c>
      <c r="C122" s="1" t="s">
        <v>21</v>
      </c>
      <c r="D122" s="1">
        <v>908</v>
      </c>
      <c r="E122" s="1">
        <v>631968</v>
      </c>
      <c r="F122" s="1">
        <v>448374</v>
      </c>
      <c r="G122" s="1" t="s">
        <v>15</v>
      </c>
      <c r="H122" s="1">
        <f>Table1[[#This Row],[Export_Value_USD]]-Table1[[#This Row],[Export_Cost_USD]]</f>
        <v>183594</v>
      </c>
      <c r="I122" s="1">
        <f>Table1[[#This Row],[Export_Value_USD]]/Table1[[#This Row],[Quantity_Tons]]</f>
        <v>696</v>
      </c>
      <c r="J122" s="1">
        <f>Table1[[#This Row],[Export_Cost_USD]]/Table1[[#This Row],[Quantity_Tons]]</f>
        <v>493.80396475770925</v>
      </c>
    </row>
    <row r="123" spans="1:10" x14ac:dyDescent="0.25">
      <c r="A123" s="1">
        <v>2018</v>
      </c>
      <c r="B123" s="1" t="s">
        <v>10</v>
      </c>
      <c r="C123" s="1" t="s">
        <v>19</v>
      </c>
      <c r="D123" s="1">
        <v>1334</v>
      </c>
      <c r="E123" s="1">
        <v>724362</v>
      </c>
      <c r="F123" s="1">
        <v>539232</v>
      </c>
      <c r="G123" s="1" t="s">
        <v>13</v>
      </c>
      <c r="H123" s="1">
        <f>Table1[[#This Row],[Export_Value_USD]]-Table1[[#This Row],[Export_Cost_USD]]</f>
        <v>185130</v>
      </c>
      <c r="I123" s="1">
        <f>Table1[[#This Row],[Export_Value_USD]]/Table1[[#This Row],[Quantity_Tons]]</f>
        <v>543</v>
      </c>
      <c r="J123" s="1">
        <f>Table1[[#This Row],[Export_Cost_USD]]/Table1[[#This Row],[Quantity_Tons]]</f>
        <v>404.22188905547227</v>
      </c>
    </row>
    <row r="124" spans="1:10" x14ac:dyDescent="0.25">
      <c r="A124" s="1">
        <v>2022</v>
      </c>
      <c r="B124" s="1" t="s">
        <v>7</v>
      </c>
      <c r="C124" s="1" t="s">
        <v>18</v>
      </c>
      <c r="D124" s="1">
        <v>989</v>
      </c>
      <c r="E124" s="1">
        <v>496478</v>
      </c>
      <c r="F124" s="1">
        <v>364600</v>
      </c>
      <c r="G124" s="1" t="s">
        <v>9</v>
      </c>
      <c r="H124" s="1">
        <f>Table1[[#This Row],[Export_Value_USD]]-Table1[[#This Row],[Export_Cost_USD]]</f>
        <v>131878</v>
      </c>
      <c r="I124" s="1">
        <f>Table1[[#This Row],[Export_Value_USD]]/Table1[[#This Row],[Quantity_Tons]]</f>
        <v>502</v>
      </c>
      <c r="J124" s="1">
        <f>Table1[[#This Row],[Export_Cost_USD]]/Table1[[#This Row],[Quantity_Tons]]</f>
        <v>368.6552072800809</v>
      </c>
    </row>
    <row r="125" spans="1:10" x14ac:dyDescent="0.25">
      <c r="A125" s="1">
        <v>2023</v>
      </c>
      <c r="B125" s="1" t="s">
        <v>22</v>
      </c>
      <c r="C125" s="1" t="s">
        <v>14</v>
      </c>
      <c r="D125" s="1">
        <v>324</v>
      </c>
      <c r="E125" s="1">
        <v>169452</v>
      </c>
      <c r="F125" s="1">
        <v>125893</v>
      </c>
      <c r="G125" s="1" t="s">
        <v>9</v>
      </c>
      <c r="H125" s="1">
        <f>Table1[[#This Row],[Export_Value_USD]]-Table1[[#This Row],[Export_Cost_USD]]</f>
        <v>43559</v>
      </c>
      <c r="I125" s="1">
        <f>Table1[[#This Row],[Export_Value_USD]]/Table1[[#This Row],[Quantity_Tons]]</f>
        <v>523</v>
      </c>
      <c r="J125" s="1">
        <f>Table1[[#This Row],[Export_Cost_USD]]/Table1[[#This Row],[Quantity_Tons]]</f>
        <v>388.55864197530866</v>
      </c>
    </row>
    <row r="126" spans="1:10" x14ac:dyDescent="0.25">
      <c r="A126" s="1">
        <v>2019</v>
      </c>
      <c r="B126" s="1" t="s">
        <v>7</v>
      </c>
      <c r="C126" s="1" t="s">
        <v>14</v>
      </c>
      <c r="D126" s="1">
        <v>1901</v>
      </c>
      <c r="E126" s="1">
        <v>880163</v>
      </c>
      <c r="F126" s="1">
        <v>625367</v>
      </c>
      <c r="G126" s="1" t="s">
        <v>15</v>
      </c>
      <c r="H126" s="1">
        <f>Table1[[#This Row],[Export_Value_USD]]-Table1[[#This Row],[Export_Cost_USD]]</f>
        <v>254796</v>
      </c>
      <c r="I126" s="1">
        <f>Table1[[#This Row],[Export_Value_USD]]/Table1[[#This Row],[Quantity_Tons]]</f>
        <v>463</v>
      </c>
      <c r="J126" s="1">
        <f>Table1[[#This Row],[Export_Cost_USD]]/Table1[[#This Row],[Quantity_Tons]]</f>
        <v>328.9673855865334</v>
      </c>
    </row>
    <row r="127" spans="1:10" x14ac:dyDescent="0.25">
      <c r="A127" s="1">
        <v>2023</v>
      </c>
      <c r="B127" s="1" t="s">
        <v>10</v>
      </c>
      <c r="C127" s="1" t="s">
        <v>14</v>
      </c>
      <c r="D127" s="1">
        <v>1893</v>
      </c>
      <c r="E127" s="1">
        <v>836706</v>
      </c>
      <c r="F127" s="1">
        <v>634723</v>
      </c>
      <c r="G127" s="1" t="s">
        <v>13</v>
      </c>
      <c r="H127" s="1">
        <f>Table1[[#This Row],[Export_Value_USD]]-Table1[[#This Row],[Export_Cost_USD]]</f>
        <v>201983</v>
      </c>
      <c r="I127" s="1">
        <f>Table1[[#This Row],[Export_Value_USD]]/Table1[[#This Row],[Quantity_Tons]]</f>
        <v>442</v>
      </c>
      <c r="J127" s="1">
        <f>Table1[[#This Row],[Export_Cost_USD]]/Table1[[#This Row],[Quantity_Tons]]</f>
        <v>335.30005282620181</v>
      </c>
    </row>
    <row r="128" spans="1:10" x14ac:dyDescent="0.25">
      <c r="A128" s="1">
        <v>2023</v>
      </c>
      <c r="B128" s="1" t="s">
        <v>12</v>
      </c>
      <c r="C128" s="1" t="s">
        <v>21</v>
      </c>
      <c r="D128" s="1">
        <v>719</v>
      </c>
      <c r="E128" s="1">
        <v>357343</v>
      </c>
      <c r="F128" s="1">
        <v>264176</v>
      </c>
      <c r="G128" s="1" t="s">
        <v>9</v>
      </c>
      <c r="H128" s="1">
        <f>Table1[[#This Row],[Export_Value_USD]]-Table1[[#This Row],[Export_Cost_USD]]</f>
        <v>93167</v>
      </c>
      <c r="I128" s="1">
        <f>Table1[[#This Row],[Export_Value_USD]]/Table1[[#This Row],[Quantity_Tons]]</f>
        <v>497</v>
      </c>
      <c r="J128" s="1">
        <f>Table1[[#This Row],[Export_Cost_USD]]/Table1[[#This Row],[Quantity_Tons]]</f>
        <v>367.42141863699584</v>
      </c>
    </row>
    <row r="129" spans="1:10" x14ac:dyDescent="0.25">
      <c r="A129" s="1">
        <v>2022</v>
      </c>
      <c r="B129" s="1" t="s">
        <v>10</v>
      </c>
      <c r="C129" s="1" t="s">
        <v>8</v>
      </c>
      <c r="D129" s="1">
        <v>292</v>
      </c>
      <c r="E129" s="1">
        <v>191260</v>
      </c>
      <c r="F129" s="1">
        <v>126909</v>
      </c>
      <c r="G129" s="1" t="s">
        <v>9</v>
      </c>
      <c r="H129" s="1">
        <f>Table1[[#This Row],[Export_Value_USD]]-Table1[[#This Row],[Export_Cost_USD]]</f>
        <v>64351</v>
      </c>
      <c r="I129" s="1">
        <f>Table1[[#This Row],[Export_Value_USD]]/Table1[[#This Row],[Quantity_Tons]]</f>
        <v>655</v>
      </c>
      <c r="J129" s="1">
        <f>Table1[[#This Row],[Export_Cost_USD]]/Table1[[#This Row],[Quantity_Tons]]</f>
        <v>434.61986301369865</v>
      </c>
    </row>
    <row r="130" spans="1:10" x14ac:dyDescent="0.25">
      <c r="A130" s="1">
        <v>2021</v>
      </c>
      <c r="B130" s="1" t="s">
        <v>10</v>
      </c>
      <c r="C130" s="1" t="s">
        <v>23</v>
      </c>
      <c r="D130" s="1">
        <v>1819</v>
      </c>
      <c r="E130" s="1">
        <v>1120504</v>
      </c>
      <c r="F130" s="1">
        <v>890680</v>
      </c>
      <c r="G130" s="1" t="s">
        <v>13</v>
      </c>
      <c r="H130" s="1">
        <f>Table1[[#This Row],[Export_Value_USD]]-Table1[[#This Row],[Export_Cost_USD]]</f>
        <v>229824</v>
      </c>
      <c r="I130" s="1">
        <f>Table1[[#This Row],[Export_Value_USD]]/Table1[[#This Row],[Quantity_Tons]]</f>
        <v>616</v>
      </c>
      <c r="J130" s="1">
        <f>Table1[[#This Row],[Export_Cost_USD]]/Table1[[#This Row],[Quantity_Tons]]</f>
        <v>489.65365585486529</v>
      </c>
    </row>
    <row r="131" spans="1:10" x14ac:dyDescent="0.25">
      <c r="A131" s="1">
        <v>2022</v>
      </c>
      <c r="B131" s="1" t="s">
        <v>16</v>
      </c>
      <c r="C131" s="1" t="s">
        <v>20</v>
      </c>
      <c r="D131" s="1">
        <v>1929</v>
      </c>
      <c r="E131" s="1">
        <v>941352</v>
      </c>
      <c r="F131" s="1">
        <v>677723</v>
      </c>
      <c r="G131" s="1" t="s">
        <v>9</v>
      </c>
      <c r="H131" s="1">
        <f>Table1[[#This Row],[Export_Value_USD]]-Table1[[#This Row],[Export_Cost_USD]]</f>
        <v>263629</v>
      </c>
      <c r="I131" s="1">
        <f>Table1[[#This Row],[Export_Value_USD]]/Table1[[#This Row],[Quantity_Tons]]</f>
        <v>488</v>
      </c>
      <c r="J131" s="1">
        <f>Table1[[#This Row],[Export_Cost_USD]]/Table1[[#This Row],[Quantity_Tons]]</f>
        <v>351.33385173665113</v>
      </c>
    </row>
    <row r="132" spans="1:10" x14ac:dyDescent="0.25">
      <c r="A132" s="1">
        <v>2022</v>
      </c>
      <c r="B132" s="1" t="s">
        <v>7</v>
      </c>
      <c r="C132" s="1" t="s">
        <v>18</v>
      </c>
      <c r="D132" s="1">
        <v>1422</v>
      </c>
      <c r="E132" s="1">
        <v>715266</v>
      </c>
      <c r="F132" s="1">
        <v>472535</v>
      </c>
      <c r="G132" s="1" t="s">
        <v>13</v>
      </c>
      <c r="H132" s="1">
        <f>Table1[[#This Row],[Export_Value_USD]]-Table1[[#This Row],[Export_Cost_USD]]</f>
        <v>242731</v>
      </c>
      <c r="I132" s="1">
        <f>Table1[[#This Row],[Export_Value_USD]]/Table1[[#This Row],[Quantity_Tons]]</f>
        <v>503</v>
      </c>
      <c r="J132" s="1">
        <f>Table1[[#This Row],[Export_Cost_USD]]/Table1[[#This Row],[Quantity_Tons]]</f>
        <v>332.30309423347398</v>
      </c>
    </row>
    <row r="133" spans="1:10" x14ac:dyDescent="0.25">
      <c r="A133" s="1">
        <v>2023</v>
      </c>
      <c r="B133" s="1" t="s">
        <v>22</v>
      </c>
      <c r="C133" s="1" t="s">
        <v>18</v>
      </c>
      <c r="D133" s="1">
        <v>1494</v>
      </c>
      <c r="E133" s="1">
        <v>851580</v>
      </c>
      <c r="F133" s="1">
        <v>525076</v>
      </c>
      <c r="G133" s="1" t="s">
        <v>15</v>
      </c>
      <c r="H133" s="1">
        <f>Table1[[#This Row],[Export_Value_USD]]-Table1[[#This Row],[Export_Cost_USD]]</f>
        <v>326504</v>
      </c>
      <c r="I133" s="1">
        <f>Table1[[#This Row],[Export_Value_USD]]/Table1[[#This Row],[Quantity_Tons]]</f>
        <v>570</v>
      </c>
      <c r="J133" s="1">
        <f>Table1[[#This Row],[Export_Cost_USD]]/Table1[[#This Row],[Quantity_Tons]]</f>
        <v>351.45649263721555</v>
      </c>
    </row>
    <row r="134" spans="1:10" x14ac:dyDescent="0.25">
      <c r="A134" s="1">
        <v>2018</v>
      </c>
      <c r="B134" s="1" t="s">
        <v>7</v>
      </c>
      <c r="C134" s="1" t="s">
        <v>23</v>
      </c>
      <c r="D134" s="1">
        <v>498</v>
      </c>
      <c r="E134" s="1">
        <v>272904</v>
      </c>
      <c r="F134" s="1">
        <v>197941</v>
      </c>
      <c r="G134" s="1" t="s">
        <v>9</v>
      </c>
      <c r="H134" s="1">
        <f>Table1[[#This Row],[Export_Value_USD]]-Table1[[#This Row],[Export_Cost_USD]]</f>
        <v>74963</v>
      </c>
      <c r="I134" s="1">
        <f>Table1[[#This Row],[Export_Value_USD]]/Table1[[#This Row],[Quantity_Tons]]</f>
        <v>548</v>
      </c>
      <c r="J134" s="1">
        <f>Table1[[#This Row],[Export_Cost_USD]]/Table1[[#This Row],[Quantity_Tons]]</f>
        <v>397.47188755020079</v>
      </c>
    </row>
    <row r="135" spans="1:10" x14ac:dyDescent="0.25">
      <c r="A135" s="1">
        <v>2020</v>
      </c>
      <c r="B135" s="1" t="s">
        <v>16</v>
      </c>
      <c r="C135" s="1" t="s">
        <v>21</v>
      </c>
      <c r="D135" s="1">
        <v>202</v>
      </c>
      <c r="E135" s="1">
        <v>94132</v>
      </c>
      <c r="F135" s="1">
        <v>59394</v>
      </c>
      <c r="G135" s="1" t="s">
        <v>15</v>
      </c>
      <c r="H135" s="1">
        <f>Table1[[#This Row],[Export_Value_USD]]-Table1[[#This Row],[Export_Cost_USD]]</f>
        <v>34738</v>
      </c>
      <c r="I135" s="1">
        <f>Table1[[#This Row],[Export_Value_USD]]/Table1[[#This Row],[Quantity_Tons]]</f>
        <v>466</v>
      </c>
      <c r="J135" s="1">
        <f>Table1[[#This Row],[Export_Cost_USD]]/Table1[[#This Row],[Quantity_Tons]]</f>
        <v>294.02970297029702</v>
      </c>
    </row>
    <row r="136" spans="1:10" x14ac:dyDescent="0.25">
      <c r="A136" s="1">
        <v>2023</v>
      </c>
      <c r="B136" s="1" t="s">
        <v>22</v>
      </c>
      <c r="C136" s="1" t="s">
        <v>21</v>
      </c>
      <c r="D136" s="1">
        <v>1176</v>
      </c>
      <c r="E136" s="1">
        <v>751464</v>
      </c>
      <c r="F136" s="1">
        <v>451463</v>
      </c>
      <c r="G136" s="1" t="s">
        <v>13</v>
      </c>
      <c r="H136" s="1">
        <f>Table1[[#This Row],[Export_Value_USD]]-Table1[[#This Row],[Export_Cost_USD]]</f>
        <v>300001</v>
      </c>
      <c r="I136" s="1">
        <f>Table1[[#This Row],[Export_Value_USD]]/Table1[[#This Row],[Quantity_Tons]]</f>
        <v>639</v>
      </c>
      <c r="J136" s="1">
        <f>Table1[[#This Row],[Export_Cost_USD]]/Table1[[#This Row],[Quantity_Tons]]</f>
        <v>383.89710884353741</v>
      </c>
    </row>
    <row r="137" spans="1:10" x14ac:dyDescent="0.25">
      <c r="A137" s="1">
        <v>2019</v>
      </c>
      <c r="B137" s="1" t="s">
        <v>12</v>
      </c>
      <c r="C137" s="1" t="s">
        <v>19</v>
      </c>
      <c r="D137" s="1">
        <v>949</v>
      </c>
      <c r="E137" s="1">
        <v>484939</v>
      </c>
      <c r="F137" s="1">
        <v>328160</v>
      </c>
      <c r="G137" s="1" t="s">
        <v>9</v>
      </c>
      <c r="H137" s="1">
        <f>Table1[[#This Row],[Export_Value_USD]]-Table1[[#This Row],[Export_Cost_USD]]</f>
        <v>156779</v>
      </c>
      <c r="I137" s="1">
        <f>Table1[[#This Row],[Export_Value_USD]]/Table1[[#This Row],[Quantity_Tons]]</f>
        <v>511</v>
      </c>
      <c r="J137" s="1">
        <f>Table1[[#This Row],[Export_Cost_USD]]/Table1[[#This Row],[Quantity_Tons]]</f>
        <v>345.79557428872499</v>
      </c>
    </row>
    <row r="138" spans="1:10" x14ac:dyDescent="0.25">
      <c r="A138" s="1">
        <v>2019</v>
      </c>
      <c r="B138" s="1" t="s">
        <v>10</v>
      </c>
      <c r="C138" s="1" t="s">
        <v>11</v>
      </c>
      <c r="D138" s="1">
        <v>406</v>
      </c>
      <c r="E138" s="1">
        <v>248878</v>
      </c>
      <c r="F138" s="1">
        <v>183610</v>
      </c>
      <c r="G138" s="1" t="s">
        <v>13</v>
      </c>
      <c r="H138" s="1">
        <f>Table1[[#This Row],[Export_Value_USD]]-Table1[[#This Row],[Export_Cost_USD]]</f>
        <v>65268</v>
      </c>
      <c r="I138" s="1">
        <f>Table1[[#This Row],[Export_Value_USD]]/Table1[[#This Row],[Quantity_Tons]]</f>
        <v>613</v>
      </c>
      <c r="J138" s="1">
        <f>Table1[[#This Row],[Export_Cost_USD]]/Table1[[#This Row],[Quantity_Tons]]</f>
        <v>452.24137931034483</v>
      </c>
    </row>
    <row r="139" spans="1:10" x14ac:dyDescent="0.25">
      <c r="A139" s="1">
        <v>2020</v>
      </c>
      <c r="B139" s="1" t="s">
        <v>22</v>
      </c>
      <c r="C139" s="1" t="s">
        <v>18</v>
      </c>
      <c r="D139" s="1">
        <v>1364</v>
      </c>
      <c r="E139" s="1">
        <v>616528</v>
      </c>
      <c r="F139" s="1">
        <v>487095</v>
      </c>
      <c r="G139" s="1" t="s">
        <v>15</v>
      </c>
      <c r="H139" s="1">
        <f>Table1[[#This Row],[Export_Value_USD]]-Table1[[#This Row],[Export_Cost_USD]]</f>
        <v>129433</v>
      </c>
      <c r="I139" s="1">
        <f>Table1[[#This Row],[Export_Value_USD]]/Table1[[#This Row],[Quantity_Tons]]</f>
        <v>452</v>
      </c>
      <c r="J139" s="1">
        <f>Table1[[#This Row],[Export_Cost_USD]]/Table1[[#This Row],[Quantity_Tons]]</f>
        <v>357.10777126099708</v>
      </c>
    </row>
    <row r="140" spans="1:10" x14ac:dyDescent="0.25">
      <c r="A140" s="1">
        <v>2020</v>
      </c>
      <c r="B140" s="1" t="s">
        <v>17</v>
      </c>
      <c r="C140" s="1" t="s">
        <v>23</v>
      </c>
      <c r="D140" s="1">
        <v>1022</v>
      </c>
      <c r="E140" s="1">
        <v>520198</v>
      </c>
      <c r="F140" s="1">
        <v>358456</v>
      </c>
      <c r="G140" s="1" t="s">
        <v>13</v>
      </c>
      <c r="H140" s="1">
        <f>Table1[[#This Row],[Export_Value_USD]]-Table1[[#This Row],[Export_Cost_USD]]</f>
        <v>161742</v>
      </c>
      <c r="I140" s="1">
        <f>Table1[[#This Row],[Export_Value_USD]]/Table1[[#This Row],[Quantity_Tons]]</f>
        <v>509</v>
      </c>
      <c r="J140" s="1">
        <f>Table1[[#This Row],[Export_Cost_USD]]/Table1[[#This Row],[Quantity_Tons]]</f>
        <v>350.73972602739724</v>
      </c>
    </row>
    <row r="141" spans="1:10" x14ac:dyDescent="0.25">
      <c r="A141" s="1">
        <v>2020</v>
      </c>
      <c r="B141" s="1" t="s">
        <v>22</v>
      </c>
      <c r="C141" s="1" t="s">
        <v>21</v>
      </c>
      <c r="D141" s="1">
        <v>386</v>
      </c>
      <c r="E141" s="1">
        <v>192614</v>
      </c>
      <c r="F141" s="1">
        <v>120436</v>
      </c>
      <c r="G141" s="1" t="s">
        <v>13</v>
      </c>
      <c r="H141" s="1">
        <f>Table1[[#This Row],[Export_Value_USD]]-Table1[[#This Row],[Export_Cost_USD]]</f>
        <v>72178</v>
      </c>
      <c r="I141" s="1">
        <f>Table1[[#This Row],[Export_Value_USD]]/Table1[[#This Row],[Quantity_Tons]]</f>
        <v>499</v>
      </c>
      <c r="J141" s="1">
        <f>Table1[[#This Row],[Export_Cost_USD]]/Table1[[#This Row],[Quantity_Tons]]</f>
        <v>312.01036269430051</v>
      </c>
    </row>
    <row r="142" spans="1:10" x14ac:dyDescent="0.25">
      <c r="A142" s="1">
        <v>2020</v>
      </c>
      <c r="B142" s="1" t="s">
        <v>16</v>
      </c>
      <c r="C142" s="1" t="s">
        <v>21</v>
      </c>
      <c r="D142" s="1">
        <v>1872</v>
      </c>
      <c r="E142" s="1">
        <v>823680</v>
      </c>
      <c r="F142" s="1">
        <v>605906</v>
      </c>
      <c r="G142" s="1" t="s">
        <v>9</v>
      </c>
      <c r="H142" s="1">
        <f>Table1[[#This Row],[Export_Value_USD]]-Table1[[#This Row],[Export_Cost_USD]]</f>
        <v>217774</v>
      </c>
      <c r="I142" s="1">
        <f>Table1[[#This Row],[Export_Value_USD]]/Table1[[#This Row],[Quantity_Tons]]</f>
        <v>440</v>
      </c>
      <c r="J142" s="1">
        <f>Table1[[#This Row],[Export_Cost_USD]]/Table1[[#This Row],[Quantity_Tons]]</f>
        <v>323.66773504273505</v>
      </c>
    </row>
    <row r="143" spans="1:10" x14ac:dyDescent="0.25">
      <c r="A143" s="1">
        <v>2018</v>
      </c>
      <c r="B143" s="1" t="s">
        <v>17</v>
      </c>
      <c r="C143" s="1" t="s">
        <v>11</v>
      </c>
      <c r="D143" s="1">
        <v>1242</v>
      </c>
      <c r="E143" s="1">
        <v>787428</v>
      </c>
      <c r="F143" s="1">
        <v>585291</v>
      </c>
      <c r="G143" s="1" t="s">
        <v>13</v>
      </c>
      <c r="H143" s="1">
        <f>Table1[[#This Row],[Export_Value_USD]]-Table1[[#This Row],[Export_Cost_USD]]</f>
        <v>202137</v>
      </c>
      <c r="I143" s="1">
        <f>Table1[[#This Row],[Export_Value_USD]]/Table1[[#This Row],[Quantity_Tons]]</f>
        <v>634</v>
      </c>
      <c r="J143" s="1">
        <f>Table1[[#This Row],[Export_Cost_USD]]/Table1[[#This Row],[Quantity_Tons]]</f>
        <v>471.2487922705314</v>
      </c>
    </row>
    <row r="144" spans="1:10" x14ac:dyDescent="0.25">
      <c r="A144" s="1">
        <v>2023</v>
      </c>
      <c r="B144" s="1" t="s">
        <v>12</v>
      </c>
      <c r="C144" s="1" t="s">
        <v>24</v>
      </c>
      <c r="D144" s="1">
        <v>305</v>
      </c>
      <c r="E144" s="1">
        <v>135420</v>
      </c>
      <c r="F144" s="1">
        <v>93960</v>
      </c>
      <c r="G144" s="1" t="s">
        <v>9</v>
      </c>
      <c r="H144" s="1">
        <f>Table1[[#This Row],[Export_Value_USD]]-Table1[[#This Row],[Export_Cost_USD]]</f>
        <v>41460</v>
      </c>
      <c r="I144" s="1">
        <f>Table1[[#This Row],[Export_Value_USD]]/Table1[[#This Row],[Quantity_Tons]]</f>
        <v>444</v>
      </c>
      <c r="J144" s="1">
        <f>Table1[[#This Row],[Export_Cost_USD]]/Table1[[#This Row],[Quantity_Tons]]</f>
        <v>308.06557377049182</v>
      </c>
    </row>
    <row r="145" spans="1:10" x14ac:dyDescent="0.25">
      <c r="A145" s="1">
        <v>2018</v>
      </c>
      <c r="B145" s="1" t="s">
        <v>10</v>
      </c>
      <c r="C145" s="1" t="s">
        <v>14</v>
      </c>
      <c r="D145" s="1">
        <v>1285</v>
      </c>
      <c r="E145" s="1">
        <v>777425</v>
      </c>
      <c r="F145" s="1">
        <v>489789</v>
      </c>
      <c r="G145" s="1" t="s">
        <v>13</v>
      </c>
      <c r="H145" s="1">
        <f>Table1[[#This Row],[Export_Value_USD]]-Table1[[#This Row],[Export_Cost_USD]]</f>
        <v>287636</v>
      </c>
      <c r="I145" s="1">
        <f>Table1[[#This Row],[Export_Value_USD]]/Table1[[#This Row],[Quantity_Tons]]</f>
        <v>605</v>
      </c>
      <c r="J145" s="1">
        <f>Table1[[#This Row],[Export_Cost_USD]]/Table1[[#This Row],[Quantity_Tons]]</f>
        <v>381.15875486381321</v>
      </c>
    </row>
    <row r="146" spans="1:10" x14ac:dyDescent="0.25">
      <c r="A146" s="1">
        <v>2018</v>
      </c>
      <c r="B146" s="1" t="s">
        <v>10</v>
      </c>
      <c r="C146" s="1" t="s">
        <v>21</v>
      </c>
      <c r="D146" s="1">
        <v>531</v>
      </c>
      <c r="E146" s="1">
        <v>336123</v>
      </c>
      <c r="F146" s="1">
        <v>261302</v>
      </c>
      <c r="G146" s="1" t="s">
        <v>13</v>
      </c>
      <c r="H146" s="1">
        <f>Table1[[#This Row],[Export_Value_USD]]-Table1[[#This Row],[Export_Cost_USD]]</f>
        <v>74821</v>
      </c>
      <c r="I146" s="1">
        <f>Table1[[#This Row],[Export_Value_USD]]/Table1[[#This Row],[Quantity_Tons]]</f>
        <v>633</v>
      </c>
      <c r="J146" s="1">
        <f>Table1[[#This Row],[Export_Cost_USD]]/Table1[[#This Row],[Quantity_Tons]]</f>
        <v>492.09416195856875</v>
      </c>
    </row>
    <row r="147" spans="1:10" x14ac:dyDescent="0.25">
      <c r="A147" s="1">
        <v>2018</v>
      </c>
      <c r="B147" s="1" t="s">
        <v>22</v>
      </c>
      <c r="C147" s="1" t="s">
        <v>14</v>
      </c>
      <c r="D147" s="1">
        <v>525</v>
      </c>
      <c r="E147" s="1">
        <v>220500</v>
      </c>
      <c r="F147" s="1">
        <v>138649</v>
      </c>
      <c r="G147" s="1" t="s">
        <v>15</v>
      </c>
      <c r="H147" s="1">
        <f>Table1[[#This Row],[Export_Value_USD]]-Table1[[#This Row],[Export_Cost_USD]]</f>
        <v>81851</v>
      </c>
      <c r="I147" s="1">
        <f>Table1[[#This Row],[Export_Value_USD]]/Table1[[#This Row],[Quantity_Tons]]</f>
        <v>420</v>
      </c>
      <c r="J147" s="1">
        <f>Table1[[#This Row],[Export_Cost_USD]]/Table1[[#This Row],[Quantity_Tons]]</f>
        <v>264.09333333333331</v>
      </c>
    </row>
    <row r="148" spans="1:10" x14ac:dyDescent="0.25">
      <c r="A148" s="1">
        <v>2022</v>
      </c>
      <c r="B148" s="1" t="s">
        <v>16</v>
      </c>
      <c r="C148" s="1" t="s">
        <v>18</v>
      </c>
      <c r="D148" s="1">
        <v>509</v>
      </c>
      <c r="E148" s="1">
        <v>277405</v>
      </c>
      <c r="F148" s="1">
        <v>172881</v>
      </c>
      <c r="G148" s="1" t="s">
        <v>9</v>
      </c>
      <c r="H148" s="1">
        <f>Table1[[#This Row],[Export_Value_USD]]-Table1[[#This Row],[Export_Cost_USD]]</f>
        <v>104524</v>
      </c>
      <c r="I148" s="1">
        <f>Table1[[#This Row],[Export_Value_USD]]/Table1[[#This Row],[Quantity_Tons]]</f>
        <v>545</v>
      </c>
      <c r="J148" s="1">
        <f>Table1[[#This Row],[Export_Cost_USD]]/Table1[[#This Row],[Quantity_Tons]]</f>
        <v>339.64833005893911</v>
      </c>
    </row>
    <row r="149" spans="1:10" x14ac:dyDescent="0.25">
      <c r="A149" s="1">
        <v>2023</v>
      </c>
      <c r="B149" s="1" t="s">
        <v>12</v>
      </c>
      <c r="C149" s="1" t="s">
        <v>11</v>
      </c>
      <c r="D149" s="1">
        <v>335</v>
      </c>
      <c r="E149" s="1">
        <v>137685</v>
      </c>
      <c r="F149" s="1">
        <v>104516</v>
      </c>
      <c r="G149" s="1" t="s">
        <v>15</v>
      </c>
      <c r="H149" s="1">
        <f>Table1[[#This Row],[Export_Value_USD]]-Table1[[#This Row],[Export_Cost_USD]]</f>
        <v>33169</v>
      </c>
      <c r="I149" s="1">
        <f>Table1[[#This Row],[Export_Value_USD]]/Table1[[#This Row],[Quantity_Tons]]</f>
        <v>411</v>
      </c>
      <c r="J149" s="1">
        <f>Table1[[#This Row],[Export_Cost_USD]]/Table1[[#This Row],[Quantity_Tons]]</f>
        <v>311.98805970149255</v>
      </c>
    </row>
    <row r="150" spans="1:10" x14ac:dyDescent="0.25">
      <c r="A150" s="1">
        <v>2022</v>
      </c>
      <c r="B150" s="1" t="s">
        <v>12</v>
      </c>
      <c r="C150" s="1" t="s">
        <v>18</v>
      </c>
      <c r="D150" s="1">
        <v>228</v>
      </c>
      <c r="E150" s="1">
        <v>117192</v>
      </c>
      <c r="F150" s="1">
        <v>84893</v>
      </c>
      <c r="G150" s="1" t="s">
        <v>13</v>
      </c>
      <c r="H150" s="1">
        <f>Table1[[#This Row],[Export_Value_USD]]-Table1[[#This Row],[Export_Cost_USD]]</f>
        <v>32299</v>
      </c>
      <c r="I150" s="1">
        <f>Table1[[#This Row],[Export_Value_USD]]/Table1[[#This Row],[Quantity_Tons]]</f>
        <v>514</v>
      </c>
      <c r="J150" s="1">
        <f>Table1[[#This Row],[Export_Cost_USD]]/Table1[[#This Row],[Quantity_Tons]]</f>
        <v>372.33771929824559</v>
      </c>
    </row>
    <row r="151" spans="1:10" x14ac:dyDescent="0.25">
      <c r="A151" s="1">
        <v>2022</v>
      </c>
      <c r="B151" s="1" t="s">
        <v>16</v>
      </c>
      <c r="C151" s="1" t="s">
        <v>14</v>
      </c>
      <c r="D151" s="1">
        <v>1715</v>
      </c>
      <c r="E151" s="1">
        <v>1161055</v>
      </c>
      <c r="F151" s="1">
        <v>769191</v>
      </c>
      <c r="G151" s="1" t="s">
        <v>9</v>
      </c>
      <c r="H151" s="1">
        <f>Table1[[#This Row],[Export_Value_USD]]-Table1[[#This Row],[Export_Cost_USD]]</f>
        <v>391864</v>
      </c>
      <c r="I151" s="1">
        <f>Table1[[#This Row],[Export_Value_USD]]/Table1[[#This Row],[Quantity_Tons]]</f>
        <v>677</v>
      </c>
      <c r="J151" s="1">
        <f>Table1[[#This Row],[Export_Cost_USD]]/Table1[[#This Row],[Quantity_Tons]]</f>
        <v>448.50787172011661</v>
      </c>
    </row>
    <row r="152" spans="1:10" x14ac:dyDescent="0.25">
      <c r="A152" s="1">
        <v>2020</v>
      </c>
      <c r="B152" s="1" t="s">
        <v>12</v>
      </c>
      <c r="C152" s="1" t="s">
        <v>8</v>
      </c>
      <c r="D152" s="1">
        <v>1094</v>
      </c>
      <c r="E152" s="1">
        <v>574350</v>
      </c>
      <c r="F152" s="1">
        <v>436472</v>
      </c>
      <c r="G152" s="1" t="s">
        <v>9</v>
      </c>
      <c r="H152" s="1">
        <f>Table1[[#This Row],[Export_Value_USD]]-Table1[[#This Row],[Export_Cost_USD]]</f>
        <v>137878</v>
      </c>
      <c r="I152" s="1">
        <f>Table1[[#This Row],[Export_Value_USD]]/Table1[[#This Row],[Quantity_Tons]]</f>
        <v>525</v>
      </c>
      <c r="J152" s="1">
        <f>Table1[[#This Row],[Export_Cost_USD]]/Table1[[#This Row],[Quantity_Tons]]</f>
        <v>398.96892138939671</v>
      </c>
    </row>
    <row r="153" spans="1:10" x14ac:dyDescent="0.25">
      <c r="A153" s="1">
        <v>2022</v>
      </c>
      <c r="B153" s="1" t="s">
        <v>12</v>
      </c>
      <c r="C153" s="1" t="s">
        <v>18</v>
      </c>
      <c r="D153" s="1">
        <v>1497</v>
      </c>
      <c r="E153" s="1">
        <v>979038</v>
      </c>
      <c r="F153" s="1">
        <v>641144</v>
      </c>
      <c r="G153" s="1" t="s">
        <v>15</v>
      </c>
      <c r="H153" s="1">
        <f>Table1[[#This Row],[Export_Value_USD]]-Table1[[#This Row],[Export_Cost_USD]]</f>
        <v>337894</v>
      </c>
      <c r="I153" s="1">
        <f>Table1[[#This Row],[Export_Value_USD]]/Table1[[#This Row],[Quantity_Tons]]</f>
        <v>654</v>
      </c>
      <c r="J153" s="1">
        <f>Table1[[#This Row],[Export_Cost_USD]]/Table1[[#This Row],[Quantity_Tons]]</f>
        <v>428.2859051436206</v>
      </c>
    </row>
    <row r="154" spans="1:10" x14ac:dyDescent="0.25">
      <c r="A154" s="1">
        <v>2019</v>
      </c>
      <c r="B154" s="1" t="s">
        <v>12</v>
      </c>
      <c r="C154" s="1" t="s">
        <v>11</v>
      </c>
      <c r="D154" s="1">
        <v>1340</v>
      </c>
      <c r="E154" s="1">
        <v>699480</v>
      </c>
      <c r="F154" s="1">
        <v>437753</v>
      </c>
      <c r="G154" s="1" t="s">
        <v>15</v>
      </c>
      <c r="H154" s="1">
        <f>Table1[[#This Row],[Export_Value_USD]]-Table1[[#This Row],[Export_Cost_USD]]</f>
        <v>261727</v>
      </c>
      <c r="I154" s="1">
        <f>Table1[[#This Row],[Export_Value_USD]]/Table1[[#This Row],[Quantity_Tons]]</f>
        <v>522</v>
      </c>
      <c r="J154" s="1">
        <f>Table1[[#This Row],[Export_Cost_USD]]/Table1[[#This Row],[Quantity_Tons]]</f>
        <v>326.68134328358207</v>
      </c>
    </row>
    <row r="155" spans="1:10" x14ac:dyDescent="0.25">
      <c r="A155" s="1">
        <v>2020</v>
      </c>
      <c r="B155" s="1" t="s">
        <v>16</v>
      </c>
      <c r="C155" s="1" t="s">
        <v>19</v>
      </c>
      <c r="D155" s="1">
        <v>1510</v>
      </c>
      <c r="E155" s="1">
        <v>635710</v>
      </c>
      <c r="F155" s="1">
        <v>394357</v>
      </c>
      <c r="G155" s="1" t="s">
        <v>13</v>
      </c>
      <c r="H155" s="1">
        <f>Table1[[#This Row],[Export_Value_USD]]-Table1[[#This Row],[Export_Cost_USD]]</f>
        <v>241353</v>
      </c>
      <c r="I155" s="1">
        <f>Table1[[#This Row],[Export_Value_USD]]/Table1[[#This Row],[Quantity_Tons]]</f>
        <v>421</v>
      </c>
      <c r="J155" s="1">
        <f>Table1[[#This Row],[Export_Cost_USD]]/Table1[[#This Row],[Quantity_Tons]]</f>
        <v>261.16357615894037</v>
      </c>
    </row>
    <row r="156" spans="1:10" x14ac:dyDescent="0.25">
      <c r="A156" s="1">
        <v>2022</v>
      </c>
      <c r="B156" s="1" t="s">
        <v>22</v>
      </c>
      <c r="C156" s="1" t="s">
        <v>19</v>
      </c>
      <c r="D156" s="1">
        <v>1515</v>
      </c>
      <c r="E156" s="1">
        <v>683265</v>
      </c>
      <c r="F156" s="1">
        <v>467012</v>
      </c>
      <c r="G156" s="1" t="s">
        <v>9</v>
      </c>
      <c r="H156" s="1">
        <f>Table1[[#This Row],[Export_Value_USD]]-Table1[[#This Row],[Export_Cost_USD]]</f>
        <v>216253</v>
      </c>
      <c r="I156" s="1">
        <f>Table1[[#This Row],[Export_Value_USD]]/Table1[[#This Row],[Quantity_Tons]]</f>
        <v>451</v>
      </c>
      <c r="J156" s="1">
        <f>Table1[[#This Row],[Export_Cost_USD]]/Table1[[#This Row],[Quantity_Tons]]</f>
        <v>308.25874587458748</v>
      </c>
    </row>
    <row r="157" spans="1:10" x14ac:dyDescent="0.25">
      <c r="A157" s="1">
        <v>2022</v>
      </c>
      <c r="B157" s="1" t="s">
        <v>12</v>
      </c>
      <c r="C157" s="1" t="s">
        <v>23</v>
      </c>
      <c r="D157" s="1">
        <v>1417</v>
      </c>
      <c r="E157" s="1">
        <v>614978</v>
      </c>
      <c r="F157" s="1">
        <v>451050</v>
      </c>
      <c r="G157" s="1" t="s">
        <v>15</v>
      </c>
      <c r="H157" s="1">
        <f>Table1[[#This Row],[Export_Value_USD]]-Table1[[#This Row],[Export_Cost_USD]]</f>
        <v>163928</v>
      </c>
      <c r="I157" s="1">
        <f>Table1[[#This Row],[Export_Value_USD]]/Table1[[#This Row],[Quantity_Tons]]</f>
        <v>434</v>
      </c>
      <c r="J157" s="1">
        <f>Table1[[#This Row],[Export_Cost_USD]]/Table1[[#This Row],[Quantity_Tons]]</f>
        <v>318.31333803810867</v>
      </c>
    </row>
    <row r="158" spans="1:10" x14ac:dyDescent="0.25">
      <c r="A158" s="1">
        <v>2019</v>
      </c>
      <c r="B158" s="1" t="s">
        <v>12</v>
      </c>
      <c r="C158" s="1" t="s">
        <v>11</v>
      </c>
      <c r="D158" s="1">
        <v>1227</v>
      </c>
      <c r="E158" s="1">
        <v>651537</v>
      </c>
      <c r="F158" s="1">
        <v>513339</v>
      </c>
      <c r="G158" s="1" t="s">
        <v>15</v>
      </c>
      <c r="H158" s="1">
        <f>Table1[[#This Row],[Export_Value_USD]]-Table1[[#This Row],[Export_Cost_USD]]</f>
        <v>138198</v>
      </c>
      <c r="I158" s="1">
        <f>Table1[[#This Row],[Export_Value_USD]]/Table1[[#This Row],[Quantity_Tons]]</f>
        <v>531</v>
      </c>
      <c r="J158" s="1">
        <f>Table1[[#This Row],[Export_Cost_USD]]/Table1[[#This Row],[Quantity_Tons]]</f>
        <v>418.36919315403424</v>
      </c>
    </row>
    <row r="159" spans="1:10" x14ac:dyDescent="0.25">
      <c r="A159" s="1">
        <v>2022</v>
      </c>
      <c r="B159" s="1" t="s">
        <v>7</v>
      </c>
      <c r="C159" s="1" t="s">
        <v>21</v>
      </c>
      <c r="D159" s="1">
        <v>1728</v>
      </c>
      <c r="E159" s="1">
        <v>1069632</v>
      </c>
      <c r="F159" s="1">
        <v>777664</v>
      </c>
      <c r="G159" s="1" t="s">
        <v>13</v>
      </c>
      <c r="H159" s="1">
        <f>Table1[[#This Row],[Export_Value_USD]]-Table1[[#This Row],[Export_Cost_USD]]</f>
        <v>291968</v>
      </c>
      <c r="I159" s="1">
        <f>Table1[[#This Row],[Export_Value_USD]]/Table1[[#This Row],[Quantity_Tons]]</f>
        <v>619</v>
      </c>
      <c r="J159" s="1">
        <f>Table1[[#This Row],[Export_Cost_USD]]/Table1[[#This Row],[Quantity_Tons]]</f>
        <v>450.03703703703701</v>
      </c>
    </row>
    <row r="160" spans="1:10" x14ac:dyDescent="0.25">
      <c r="A160" s="1">
        <v>2019</v>
      </c>
      <c r="B160" s="1" t="s">
        <v>16</v>
      </c>
      <c r="C160" s="1" t="s">
        <v>11</v>
      </c>
      <c r="D160" s="1">
        <v>434</v>
      </c>
      <c r="E160" s="1">
        <v>258230</v>
      </c>
      <c r="F160" s="1">
        <v>205008</v>
      </c>
      <c r="G160" s="1" t="s">
        <v>13</v>
      </c>
      <c r="H160" s="1">
        <f>Table1[[#This Row],[Export_Value_USD]]-Table1[[#This Row],[Export_Cost_USD]]</f>
        <v>53222</v>
      </c>
      <c r="I160" s="1">
        <f>Table1[[#This Row],[Export_Value_USD]]/Table1[[#This Row],[Quantity_Tons]]</f>
        <v>595</v>
      </c>
      <c r="J160" s="1">
        <f>Table1[[#This Row],[Export_Cost_USD]]/Table1[[#This Row],[Quantity_Tons]]</f>
        <v>472.36866359447004</v>
      </c>
    </row>
    <row r="161" spans="1:10" x14ac:dyDescent="0.25">
      <c r="A161" s="1">
        <v>2021</v>
      </c>
      <c r="B161" s="1" t="s">
        <v>7</v>
      </c>
      <c r="C161" s="1" t="s">
        <v>20</v>
      </c>
      <c r="D161" s="1">
        <v>1904</v>
      </c>
      <c r="E161" s="1">
        <v>1292816</v>
      </c>
      <c r="F161" s="1">
        <v>1006507</v>
      </c>
      <c r="G161" s="1" t="s">
        <v>13</v>
      </c>
      <c r="H161" s="1">
        <f>Table1[[#This Row],[Export_Value_USD]]-Table1[[#This Row],[Export_Cost_USD]]</f>
        <v>286309</v>
      </c>
      <c r="I161" s="1">
        <f>Table1[[#This Row],[Export_Value_USD]]/Table1[[#This Row],[Quantity_Tons]]</f>
        <v>679</v>
      </c>
      <c r="J161" s="1">
        <f>Table1[[#This Row],[Export_Cost_USD]]/Table1[[#This Row],[Quantity_Tons]]</f>
        <v>528.62762605042019</v>
      </c>
    </row>
    <row r="162" spans="1:10" x14ac:dyDescent="0.25">
      <c r="A162" s="1">
        <v>2020</v>
      </c>
      <c r="B162" s="1" t="s">
        <v>12</v>
      </c>
      <c r="C162" s="1" t="s">
        <v>23</v>
      </c>
      <c r="D162" s="1">
        <v>250</v>
      </c>
      <c r="E162" s="1">
        <v>126250</v>
      </c>
      <c r="F162" s="1">
        <v>79344</v>
      </c>
      <c r="G162" s="1" t="s">
        <v>9</v>
      </c>
      <c r="H162" s="1">
        <f>Table1[[#This Row],[Export_Value_USD]]-Table1[[#This Row],[Export_Cost_USD]]</f>
        <v>46906</v>
      </c>
      <c r="I162" s="1">
        <f>Table1[[#This Row],[Export_Value_USD]]/Table1[[#This Row],[Quantity_Tons]]</f>
        <v>505</v>
      </c>
      <c r="J162" s="1">
        <f>Table1[[#This Row],[Export_Cost_USD]]/Table1[[#This Row],[Quantity_Tons]]</f>
        <v>317.37599999999998</v>
      </c>
    </row>
    <row r="163" spans="1:10" x14ac:dyDescent="0.25">
      <c r="A163" s="1">
        <v>2019</v>
      </c>
      <c r="B163" s="1" t="s">
        <v>16</v>
      </c>
      <c r="C163" s="1" t="s">
        <v>23</v>
      </c>
      <c r="D163" s="1">
        <v>284</v>
      </c>
      <c r="E163" s="1">
        <v>172388</v>
      </c>
      <c r="F163" s="1">
        <v>122088</v>
      </c>
      <c r="G163" s="1" t="s">
        <v>15</v>
      </c>
      <c r="H163" s="1">
        <f>Table1[[#This Row],[Export_Value_USD]]-Table1[[#This Row],[Export_Cost_USD]]</f>
        <v>50300</v>
      </c>
      <c r="I163" s="1">
        <f>Table1[[#This Row],[Export_Value_USD]]/Table1[[#This Row],[Quantity_Tons]]</f>
        <v>607</v>
      </c>
      <c r="J163" s="1">
        <f>Table1[[#This Row],[Export_Cost_USD]]/Table1[[#This Row],[Quantity_Tons]]</f>
        <v>429.88732394366195</v>
      </c>
    </row>
    <row r="164" spans="1:10" x14ac:dyDescent="0.25">
      <c r="A164" s="1">
        <v>2021</v>
      </c>
      <c r="B164" s="1" t="s">
        <v>16</v>
      </c>
      <c r="C164" s="1" t="s">
        <v>24</v>
      </c>
      <c r="D164" s="1">
        <v>230</v>
      </c>
      <c r="E164" s="1">
        <v>103500</v>
      </c>
      <c r="F164" s="1">
        <v>62729</v>
      </c>
      <c r="G164" s="1" t="s">
        <v>13</v>
      </c>
      <c r="H164" s="1">
        <f>Table1[[#This Row],[Export_Value_USD]]-Table1[[#This Row],[Export_Cost_USD]]</f>
        <v>40771</v>
      </c>
      <c r="I164" s="1">
        <f>Table1[[#This Row],[Export_Value_USD]]/Table1[[#This Row],[Quantity_Tons]]</f>
        <v>450</v>
      </c>
      <c r="J164" s="1">
        <f>Table1[[#This Row],[Export_Cost_USD]]/Table1[[#This Row],[Quantity_Tons]]</f>
        <v>272.73478260869564</v>
      </c>
    </row>
    <row r="165" spans="1:10" x14ac:dyDescent="0.25">
      <c r="A165" s="1">
        <v>2023</v>
      </c>
      <c r="B165" s="1" t="s">
        <v>22</v>
      </c>
      <c r="C165" s="1" t="s">
        <v>18</v>
      </c>
      <c r="D165" s="1">
        <v>826</v>
      </c>
      <c r="E165" s="1">
        <v>470820</v>
      </c>
      <c r="F165" s="1">
        <v>359338</v>
      </c>
      <c r="G165" s="1" t="s">
        <v>9</v>
      </c>
      <c r="H165" s="1">
        <f>Table1[[#This Row],[Export_Value_USD]]-Table1[[#This Row],[Export_Cost_USD]]</f>
        <v>111482</v>
      </c>
      <c r="I165" s="1">
        <f>Table1[[#This Row],[Export_Value_USD]]/Table1[[#This Row],[Quantity_Tons]]</f>
        <v>570</v>
      </c>
      <c r="J165" s="1">
        <f>Table1[[#This Row],[Export_Cost_USD]]/Table1[[#This Row],[Quantity_Tons]]</f>
        <v>435.03389830508473</v>
      </c>
    </row>
    <row r="166" spans="1:10" x14ac:dyDescent="0.25">
      <c r="A166" s="1">
        <v>2022</v>
      </c>
      <c r="B166" s="1" t="s">
        <v>12</v>
      </c>
      <c r="C166" s="1" t="s">
        <v>20</v>
      </c>
      <c r="D166" s="1">
        <v>1424</v>
      </c>
      <c r="E166" s="1">
        <v>786048</v>
      </c>
      <c r="F166" s="1">
        <v>518875</v>
      </c>
      <c r="G166" s="1" t="s">
        <v>9</v>
      </c>
      <c r="H166" s="1">
        <f>Table1[[#This Row],[Export_Value_USD]]-Table1[[#This Row],[Export_Cost_USD]]</f>
        <v>267173</v>
      </c>
      <c r="I166" s="1">
        <f>Table1[[#This Row],[Export_Value_USD]]/Table1[[#This Row],[Quantity_Tons]]</f>
        <v>552</v>
      </c>
      <c r="J166" s="1">
        <f>Table1[[#This Row],[Export_Cost_USD]]/Table1[[#This Row],[Quantity_Tons]]</f>
        <v>364.37851123595505</v>
      </c>
    </row>
    <row r="167" spans="1:10" x14ac:dyDescent="0.25">
      <c r="A167" s="1">
        <v>2018</v>
      </c>
      <c r="B167" s="1" t="s">
        <v>22</v>
      </c>
      <c r="C167" s="1" t="s">
        <v>19</v>
      </c>
      <c r="D167" s="1">
        <v>245</v>
      </c>
      <c r="E167" s="1">
        <v>109025</v>
      </c>
      <c r="F167" s="1">
        <v>81839</v>
      </c>
      <c r="G167" s="1" t="s">
        <v>15</v>
      </c>
      <c r="H167" s="1">
        <f>Table1[[#This Row],[Export_Value_USD]]-Table1[[#This Row],[Export_Cost_USD]]</f>
        <v>27186</v>
      </c>
      <c r="I167" s="1">
        <f>Table1[[#This Row],[Export_Value_USD]]/Table1[[#This Row],[Quantity_Tons]]</f>
        <v>445</v>
      </c>
      <c r="J167" s="1">
        <f>Table1[[#This Row],[Export_Cost_USD]]/Table1[[#This Row],[Quantity_Tons]]</f>
        <v>334.03673469387758</v>
      </c>
    </row>
    <row r="168" spans="1:10" x14ac:dyDescent="0.25">
      <c r="A168" s="1">
        <v>2020</v>
      </c>
      <c r="B168" s="1" t="s">
        <v>10</v>
      </c>
      <c r="C168" s="1" t="s">
        <v>23</v>
      </c>
      <c r="D168" s="1">
        <v>1639</v>
      </c>
      <c r="E168" s="1">
        <v>681824</v>
      </c>
      <c r="F168" s="1">
        <v>436263</v>
      </c>
      <c r="G168" s="1" t="s">
        <v>15</v>
      </c>
      <c r="H168" s="1">
        <f>Table1[[#This Row],[Export_Value_USD]]-Table1[[#This Row],[Export_Cost_USD]]</f>
        <v>245561</v>
      </c>
      <c r="I168" s="1">
        <f>Table1[[#This Row],[Export_Value_USD]]/Table1[[#This Row],[Quantity_Tons]]</f>
        <v>416</v>
      </c>
      <c r="J168" s="1">
        <f>Table1[[#This Row],[Export_Cost_USD]]/Table1[[#This Row],[Quantity_Tons]]</f>
        <v>266.17632702867604</v>
      </c>
    </row>
    <row r="169" spans="1:10" x14ac:dyDescent="0.25">
      <c r="A169" s="1">
        <v>2018</v>
      </c>
      <c r="B169" s="1" t="s">
        <v>17</v>
      </c>
      <c r="C169" s="1" t="s">
        <v>11</v>
      </c>
      <c r="D169" s="1">
        <v>582</v>
      </c>
      <c r="E169" s="1">
        <v>377136</v>
      </c>
      <c r="F169" s="1">
        <v>294643</v>
      </c>
      <c r="G169" s="1" t="s">
        <v>15</v>
      </c>
      <c r="H169" s="1">
        <f>Table1[[#This Row],[Export_Value_USD]]-Table1[[#This Row],[Export_Cost_USD]]</f>
        <v>82493</v>
      </c>
      <c r="I169" s="1">
        <f>Table1[[#This Row],[Export_Value_USD]]/Table1[[#This Row],[Quantity_Tons]]</f>
        <v>648</v>
      </c>
      <c r="J169" s="1">
        <f>Table1[[#This Row],[Export_Cost_USD]]/Table1[[#This Row],[Quantity_Tons]]</f>
        <v>506.2594501718213</v>
      </c>
    </row>
    <row r="170" spans="1:10" x14ac:dyDescent="0.25">
      <c r="A170" s="1">
        <v>2022</v>
      </c>
      <c r="B170" s="1" t="s">
        <v>10</v>
      </c>
      <c r="C170" s="1" t="s">
        <v>14</v>
      </c>
      <c r="D170" s="1">
        <v>1298</v>
      </c>
      <c r="E170" s="1">
        <v>633424</v>
      </c>
      <c r="F170" s="1">
        <v>468298</v>
      </c>
      <c r="G170" s="1" t="s">
        <v>9</v>
      </c>
      <c r="H170" s="1">
        <f>Table1[[#This Row],[Export_Value_USD]]-Table1[[#This Row],[Export_Cost_USD]]</f>
        <v>165126</v>
      </c>
      <c r="I170" s="1">
        <f>Table1[[#This Row],[Export_Value_USD]]/Table1[[#This Row],[Quantity_Tons]]</f>
        <v>488</v>
      </c>
      <c r="J170" s="1">
        <f>Table1[[#This Row],[Export_Cost_USD]]/Table1[[#This Row],[Quantity_Tons]]</f>
        <v>360.78428351309708</v>
      </c>
    </row>
    <row r="171" spans="1:10" x14ac:dyDescent="0.25">
      <c r="A171" s="1">
        <v>2020</v>
      </c>
      <c r="B171" s="1" t="s">
        <v>10</v>
      </c>
      <c r="C171" s="1" t="s">
        <v>11</v>
      </c>
      <c r="D171" s="1">
        <v>419</v>
      </c>
      <c r="E171" s="1">
        <v>167600</v>
      </c>
      <c r="F171" s="1">
        <v>130181</v>
      </c>
      <c r="G171" s="1" t="s">
        <v>13</v>
      </c>
      <c r="H171" s="1">
        <f>Table1[[#This Row],[Export_Value_USD]]-Table1[[#This Row],[Export_Cost_USD]]</f>
        <v>37419</v>
      </c>
      <c r="I171" s="1">
        <f>Table1[[#This Row],[Export_Value_USD]]/Table1[[#This Row],[Quantity_Tons]]</f>
        <v>400</v>
      </c>
      <c r="J171" s="1">
        <f>Table1[[#This Row],[Export_Cost_USD]]/Table1[[#This Row],[Quantity_Tons]]</f>
        <v>310.69451073985681</v>
      </c>
    </row>
    <row r="172" spans="1:10" x14ac:dyDescent="0.25">
      <c r="A172" s="1">
        <v>2020</v>
      </c>
      <c r="B172" s="1" t="s">
        <v>16</v>
      </c>
      <c r="C172" s="1" t="s">
        <v>19</v>
      </c>
      <c r="D172" s="1">
        <v>1595</v>
      </c>
      <c r="E172" s="1">
        <v>813450</v>
      </c>
      <c r="F172" s="1">
        <v>621194</v>
      </c>
      <c r="G172" s="1" t="s">
        <v>9</v>
      </c>
      <c r="H172" s="1">
        <f>Table1[[#This Row],[Export_Value_USD]]-Table1[[#This Row],[Export_Cost_USD]]</f>
        <v>192256</v>
      </c>
      <c r="I172" s="1">
        <f>Table1[[#This Row],[Export_Value_USD]]/Table1[[#This Row],[Quantity_Tons]]</f>
        <v>510</v>
      </c>
      <c r="J172" s="1">
        <f>Table1[[#This Row],[Export_Cost_USD]]/Table1[[#This Row],[Quantity_Tons]]</f>
        <v>389.46332288401254</v>
      </c>
    </row>
    <row r="173" spans="1:10" x14ac:dyDescent="0.25">
      <c r="A173" s="1">
        <v>2020</v>
      </c>
      <c r="B173" s="1" t="s">
        <v>16</v>
      </c>
      <c r="C173" s="1" t="s">
        <v>21</v>
      </c>
      <c r="D173" s="1">
        <v>1299</v>
      </c>
      <c r="E173" s="1">
        <v>724842</v>
      </c>
      <c r="F173" s="1">
        <v>471619</v>
      </c>
      <c r="G173" s="1" t="s">
        <v>13</v>
      </c>
      <c r="H173" s="1">
        <f>Table1[[#This Row],[Export_Value_USD]]-Table1[[#This Row],[Export_Cost_USD]]</f>
        <v>253223</v>
      </c>
      <c r="I173" s="1">
        <f>Table1[[#This Row],[Export_Value_USD]]/Table1[[#This Row],[Quantity_Tons]]</f>
        <v>558</v>
      </c>
      <c r="J173" s="1">
        <f>Table1[[#This Row],[Export_Cost_USD]]/Table1[[#This Row],[Quantity_Tons]]</f>
        <v>363.06312548113937</v>
      </c>
    </row>
    <row r="174" spans="1:10" x14ac:dyDescent="0.25">
      <c r="A174" s="1">
        <v>2020</v>
      </c>
      <c r="B174" s="1" t="s">
        <v>10</v>
      </c>
      <c r="C174" s="1" t="s">
        <v>11</v>
      </c>
      <c r="D174" s="1">
        <v>1227</v>
      </c>
      <c r="E174" s="1">
        <v>642948</v>
      </c>
      <c r="F174" s="1">
        <v>398467</v>
      </c>
      <c r="G174" s="1" t="s">
        <v>15</v>
      </c>
      <c r="H174" s="1">
        <f>Table1[[#This Row],[Export_Value_USD]]-Table1[[#This Row],[Export_Cost_USD]]</f>
        <v>244481</v>
      </c>
      <c r="I174" s="1">
        <f>Table1[[#This Row],[Export_Value_USD]]/Table1[[#This Row],[Quantity_Tons]]</f>
        <v>524</v>
      </c>
      <c r="J174" s="1">
        <f>Table1[[#This Row],[Export_Cost_USD]]/Table1[[#This Row],[Quantity_Tons]]</f>
        <v>324.74898125509372</v>
      </c>
    </row>
    <row r="175" spans="1:10" x14ac:dyDescent="0.25">
      <c r="A175" s="1">
        <v>2020</v>
      </c>
      <c r="B175" s="1" t="s">
        <v>22</v>
      </c>
      <c r="C175" s="1" t="s">
        <v>23</v>
      </c>
      <c r="D175" s="1">
        <v>1179</v>
      </c>
      <c r="E175" s="1">
        <v>601290</v>
      </c>
      <c r="F175" s="1">
        <v>398677</v>
      </c>
      <c r="G175" s="1" t="s">
        <v>15</v>
      </c>
      <c r="H175" s="1">
        <f>Table1[[#This Row],[Export_Value_USD]]-Table1[[#This Row],[Export_Cost_USD]]</f>
        <v>202613</v>
      </c>
      <c r="I175" s="1">
        <f>Table1[[#This Row],[Export_Value_USD]]/Table1[[#This Row],[Quantity_Tons]]</f>
        <v>510</v>
      </c>
      <c r="J175" s="1">
        <f>Table1[[#This Row],[Export_Cost_USD]]/Table1[[#This Row],[Quantity_Tons]]</f>
        <v>338.14843087362169</v>
      </c>
    </row>
    <row r="176" spans="1:10" x14ac:dyDescent="0.25">
      <c r="A176" s="1">
        <v>2020</v>
      </c>
      <c r="B176" s="1" t="s">
        <v>17</v>
      </c>
      <c r="C176" s="1" t="s">
        <v>23</v>
      </c>
      <c r="D176" s="1">
        <v>1932</v>
      </c>
      <c r="E176" s="1">
        <v>855876</v>
      </c>
      <c r="F176" s="1">
        <v>559180</v>
      </c>
      <c r="G176" s="1" t="s">
        <v>9</v>
      </c>
      <c r="H176" s="1">
        <f>Table1[[#This Row],[Export_Value_USD]]-Table1[[#This Row],[Export_Cost_USD]]</f>
        <v>296696</v>
      </c>
      <c r="I176" s="1">
        <f>Table1[[#This Row],[Export_Value_USD]]/Table1[[#This Row],[Quantity_Tons]]</f>
        <v>443</v>
      </c>
      <c r="J176" s="1">
        <f>Table1[[#This Row],[Export_Cost_USD]]/Table1[[#This Row],[Quantity_Tons]]</f>
        <v>289.43064182194615</v>
      </c>
    </row>
    <row r="177" spans="1:10" x14ac:dyDescent="0.25">
      <c r="A177" s="1">
        <v>2022</v>
      </c>
      <c r="B177" s="1" t="s">
        <v>10</v>
      </c>
      <c r="C177" s="1" t="s">
        <v>11</v>
      </c>
      <c r="D177" s="1">
        <v>638</v>
      </c>
      <c r="E177" s="1">
        <v>427460</v>
      </c>
      <c r="F177" s="1">
        <v>328813</v>
      </c>
      <c r="G177" s="1" t="s">
        <v>9</v>
      </c>
      <c r="H177" s="1">
        <f>Table1[[#This Row],[Export_Value_USD]]-Table1[[#This Row],[Export_Cost_USD]]</f>
        <v>98647</v>
      </c>
      <c r="I177" s="1">
        <f>Table1[[#This Row],[Export_Value_USD]]/Table1[[#This Row],[Quantity_Tons]]</f>
        <v>670</v>
      </c>
      <c r="J177" s="1">
        <f>Table1[[#This Row],[Export_Cost_USD]]/Table1[[#This Row],[Quantity_Tons]]</f>
        <v>515.38087774294672</v>
      </c>
    </row>
    <row r="178" spans="1:10" x14ac:dyDescent="0.25">
      <c r="A178" s="1">
        <v>2018</v>
      </c>
      <c r="B178" s="1" t="s">
        <v>10</v>
      </c>
      <c r="C178" s="1" t="s">
        <v>21</v>
      </c>
      <c r="D178" s="1">
        <v>1787</v>
      </c>
      <c r="E178" s="1">
        <v>1197290</v>
      </c>
      <c r="F178" s="1">
        <v>881145</v>
      </c>
      <c r="G178" s="1" t="s">
        <v>9</v>
      </c>
      <c r="H178" s="1">
        <f>Table1[[#This Row],[Export_Value_USD]]-Table1[[#This Row],[Export_Cost_USD]]</f>
        <v>316145</v>
      </c>
      <c r="I178" s="1">
        <f>Table1[[#This Row],[Export_Value_USD]]/Table1[[#This Row],[Quantity_Tons]]</f>
        <v>670</v>
      </c>
      <c r="J178" s="1">
        <f>Table1[[#This Row],[Export_Cost_USD]]/Table1[[#This Row],[Quantity_Tons]]</f>
        <v>493.08617795187467</v>
      </c>
    </row>
    <row r="179" spans="1:10" x14ac:dyDescent="0.25">
      <c r="A179" s="1">
        <v>2020</v>
      </c>
      <c r="B179" s="1" t="s">
        <v>22</v>
      </c>
      <c r="C179" s="1" t="s">
        <v>18</v>
      </c>
      <c r="D179" s="1">
        <v>1604</v>
      </c>
      <c r="E179" s="1">
        <v>1081096</v>
      </c>
      <c r="F179" s="1">
        <v>749256</v>
      </c>
      <c r="G179" s="1" t="s">
        <v>9</v>
      </c>
      <c r="H179" s="1">
        <f>Table1[[#This Row],[Export_Value_USD]]-Table1[[#This Row],[Export_Cost_USD]]</f>
        <v>331840</v>
      </c>
      <c r="I179" s="1">
        <f>Table1[[#This Row],[Export_Value_USD]]/Table1[[#This Row],[Quantity_Tons]]</f>
        <v>674</v>
      </c>
      <c r="J179" s="1">
        <f>Table1[[#This Row],[Export_Cost_USD]]/Table1[[#This Row],[Quantity_Tons]]</f>
        <v>467.11720698254362</v>
      </c>
    </row>
    <row r="180" spans="1:10" x14ac:dyDescent="0.25">
      <c r="A180" s="1">
        <v>2020</v>
      </c>
      <c r="B180" s="1" t="s">
        <v>10</v>
      </c>
      <c r="C180" s="1" t="s">
        <v>18</v>
      </c>
      <c r="D180" s="1">
        <v>1289</v>
      </c>
      <c r="E180" s="1">
        <v>574894</v>
      </c>
      <c r="F180" s="1">
        <v>429245</v>
      </c>
      <c r="G180" s="1" t="s">
        <v>9</v>
      </c>
      <c r="H180" s="1">
        <f>Table1[[#This Row],[Export_Value_USD]]-Table1[[#This Row],[Export_Cost_USD]]</f>
        <v>145649</v>
      </c>
      <c r="I180" s="1">
        <f>Table1[[#This Row],[Export_Value_USD]]/Table1[[#This Row],[Quantity_Tons]]</f>
        <v>446</v>
      </c>
      <c r="J180" s="1">
        <f>Table1[[#This Row],[Export_Cost_USD]]/Table1[[#This Row],[Quantity_Tons]]</f>
        <v>333.00620636152058</v>
      </c>
    </row>
    <row r="181" spans="1:10" x14ac:dyDescent="0.25">
      <c r="A181" s="1">
        <v>2018</v>
      </c>
      <c r="B181" s="1" t="s">
        <v>10</v>
      </c>
      <c r="C181" s="1" t="s">
        <v>21</v>
      </c>
      <c r="D181" s="1">
        <v>1165</v>
      </c>
      <c r="E181" s="1">
        <v>603470</v>
      </c>
      <c r="F181" s="1">
        <v>376195</v>
      </c>
      <c r="G181" s="1" t="s">
        <v>9</v>
      </c>
      <c r="H181" s="1">
        <f>Table1[[#This Row],[Export_Value_USD]]-Table1[[#This Row],[Export_Cost_USD]]</f>
        <v>227275</v>
      </c>
      <c r="I181" s="1">
        <f>Table1[[#This Row],[Export_Value_USD]]/Table1[[#This Row],[Quantity_Tons]]</f>
        <v>518</v>
      </c>
      <c r="J181" s="1">
        <f>Table1[[#This Row],[Export_Cost_USD]]/Table1[[#This Row],[Quantity_Tons]]</f>
        <v>322.91416309012874</v>
      </c>
    </row>
    <row r="182" spans="1:10" x14ac:dyDescent="0.25">
      <c r="A182" s="1">
        <v>2021</v>
      </c>
      <c r="B182" s="1" t="s">
        <v>17</v>
      </c>
      <c r="C182" s="1" t="s">
        <v>21</v>
      </c>
      <c r="D182" s="1">
        <v>851</v>
      </c>
      <c r="E182" s="1">
        <v>499537</v>
      </c>
      <c r="F182" s="1">
        <v>394154</v>
      </c>
      <c r="G182" s="1" t="s">
        <v>9</v>
      </c>
      <c r="H182" s="1">
        <f>Table1[[#This Row],[Export_Value_USD]]-Table1[[#This Row],[Export_Cost_USD]]</f>
        <v>105383</v>
      </c>
      <c r="I182" s="1">
        <f>Table1[[#This Row],[Export_Value_USD]]/Table1[[#This Row],[Quantity_Tons]]</f>
        <v>587</v>
      </c>
      <c r="J182" s="1">
        <f>Table1[[#This Row],[Export_Cost_USD]]/Table1[[#This Row],[Quantity_Tons]]</f>
        <v>463.16568742655699</v>
      </c>
    </row>
    <row r="183" spans="1:10" x14ac:dyDescent="0.25">
      <c r="A183" s="1">
        <v>2020</v>
      </c>
      <c r="B183" s="1" t="s">
        <v>17</v>
      </c>
      <c r="C183" s="1" t="s">
        <v>11</v>
      </c>
      <c r="D183" s="1">
        <v>1752</v>
      </c>
      <c r="E183" s="1">
        <v>870744</v>
      </c>
      <c r="F183" s="1">
        <v>566419</v>
      </c>
      <c r="G183" s="1" t="s">
        <v>15</v>
      </c>
      <c r="H183" s="1">
        <f>Table1[[#This Row],[Export_Value_USD]]-Table1[[#This Row],[Export_Cost_USD]]</f>
        <v>304325</v>
      </c>
      <c r="I183" s="1">
        <f>Table1[[#This Row],[Export_Value_USD]]/Table1[[#This Row],[Quantity_Tons]]</f>
        <v>497</v>
      </c>
      <c r="J183" s="1">
        <f>Table1[[#This Row],[Export_Cost_USD]]/Table1[[#This Row],[Quantity_Tons]]</f>
        <v>323.29851598173514</v>
      </c>
    </row>
    <row r="184" spans="1:10" x14ac:dyDescent="0.25">
      <c r="A184" s="1">
        <v>2020</v>
      </c>
      <c r="B184" s="1" t="s">
        <v>17</v>
      </c>
      <c r="C184" s="1" t="s">
        <v>8</v>
      </c>
      <c r="D184" s="1">
        <v>1729</v>
      </c>
      <c r="E184" s="1">
        <v>1021839</v>
      </c>
      <c r="F184" s="1">
        <v>715461</v>
      </c>
      <c r="G184" s="1" t="s">
        <v>15</v>
      </c>
      <c r="H184" s="1">
        <f>Table1[[#This Row],[Export_Value_USD]]-Table1[[#This Row],[Export_Cost_USD]]</f>
        <v>306378</v>
      </c>
      <c r="I184" s="1">
        <f>Table1[[#This Row],[Export_Value_USD]]/Table1[[#This Row],[Quantity_Tons]]</f>
        <v>591</v>
      </c>
      <c r="J184" s="1">
        <f>Table1[[#This Row],[Export_Cost_USD]]/Table1[[#This Row],[Quantity_Tons]]</f>
        <v>413.80046269519954</v>
      </c>
    </row>
    <row r="185" spans="1:10" x14ac:dyDescent="0.25">
      <c r="A185" s="1">
        <v>2023</v>
      </c>
      <c r="B185" s="1" t="s">
        <v>22</v>
      </c>
      <c r="C185" s="1" t="s">
        <v>8</v>
      </c>
      <c r="D185" s="1">
        <v>1449</v>
      </c>
      <c r="E185" s="1">
        <v>676683</v>
      </c>
      <c r="F185" s="1">
        <v>541118</v>
      </c>
      <c r="G185" s="1" t="s">
        <v>13</v>
      </c>
      <c r="H185" s="1">
        <f>Table1[[#This Row],[Export_Value_USD]]-Table1[[#This Row],[Export_Cost_USD]]</f>
        <v>135565</v>
      </c>
      <c r="I185" s="1">
        <f>Table1[[#This Row],[Export_Value_USD]]/Table1[[#This Row],[Quantity_Tons]]</f>
        <v>467</v>
      </c>
      <c r="J185" s="1">
        <f>Table1[[#This Row],[Export_Cost_USD]]/Table1[[#This Row],[Quantity_Tons]]</f>
        <v>373.44237405106969</v>
      </c>
    </row>
    <row r="186" spans="1:10" x14ac:dyDescent="0.25">
      <c r="A186" s="1">
        <v>2018</v>
      </c>
      <c r="B186" s="1" t="s">
        <v>16</v>
      </c>
      <c r="C186" s="1" t="s">
        <v>21</v>
      </c>
      <c r="D186" s="1">
        <v>1114</v>
      </c>
      <c r="E186" s="1">
        <v>711846</v>
      </c>
      <c r="F186" s="1">
        <v>454734</v>
      </c>
      <c r="G186" s="1" t="s">
        <v>15</v>
      </c>
      <c r="H186" s="1">
        <f>Table1[[#This Row],[Export_Value_USD]]-Table1[[#This Row],[Export_Cost_USD]]</f>
        <v>257112</v>
      </c>
      <c r="I186" s="1">
        <f>Table1[[#This Row],[Export_Value_USD]]/Table1[[#This Row],[Quantity_Tons]]</f>
        <v>639</v>
      </c>
      <c r="J186" s="1">
        <f>Table1[[#This Row],[Export_Cost_USD]]/Table1[[#This Row],[Quantity_Tons]]</f>
        <v>408.19928186714543</v>
      </c>
    </row>
    <row r="187" spans="1:10" x14ac:dyDescent="0.25">
      <c r="A187" s="1">
        <v>2019</v>
      </c>
      <c r="B187" s="1" t="s">
        <v>16</v>
      </c>
      <c r="C187" s="1" t="s">
        <v>11</v>
      </c>
      <c r="D187" s="1">
        <v>1218</v>
      </c>
      <c r="E187" s="1">
        <v>738108</v>
      </c>
      <c r="F187" s="1">
        <v>521928</v>
      </c>
      <c r="G187" s="1" t="s">
        <v>15</v>
      </c>
      <c r="H187" s="1">
        <f>Table1[[#This Row],[Export_Value_USD]]-Table1[[#This Row],[Export_Cost_USD]]</f>
        <v>216180</v>
      </c>
      <c r="I187" s="1">
        <f>Table1[[#This Row],[Export_Value_USD]]/Table1[[#This Row],[Quantity_Tons]]</f>
        <v>606</v>
      </c>
      <c r="J187" s="1">
        <f>Table1[[#This Row],[Export_Cost_USD]]/Table1[[#This Row],[Quantity_Tons]]</f>
        <v>428.51231527093597</v>
      </c>
    </row>
    <row r="188" spans="1:10" x14ac:dyDescent="0.25">
      <c r="A188" s="1">
        <v>2021</v>
      </c>
      <c r="B188" s="1" t="s">
        <v>16</v>
      </c>
      <c r="C188" s="1" t="s">
        <v>19</v>
      </c>
      <c r="D188" s="1">
        <v>558</v>
      </c>
      <c r="E188" s="1">
        <v>389484</v>
      </c>
      <c r="F188" s="1">
        <v>292896</v>
      </c>
      <c r="G188" s="1" t="s">
        <v>9</v>
      </c>
      <c r="H188" s="1">
        <f>Table1[[#This Row],[Export_Value_USD]]-Table1[[#This Row],[Export_Cost_USD]]</f>
        <v>96588</v>
      </c>
      <c r="I188" s="1">
        <f>Table1[[#This Row],[Export_Value_USD]]/Table1[[#This Row],[Quantity_Tons]]</f>
        <v>698</v>
      </c>
      <c r="J188" s="1">
        <f>Table1[[#This Row],[Export_Cost_USD]]/Table1[[#This Row],[Quantity_Tons]]</f>
        <v>524.90322580645159</v>
      </c>
    </row>
    <row r="189" spans="1:10" x14ac:dyDescent="0.25">
      <c r="A189" s="1">
        <v>2019</v>
      </c>
      <c r="B189" s="1" t="s">
        <v>7</v>
      </c>
      <c r="C189" s="1" t="s">
        <v>8</v>
      </c>
      <c r="D189" s="1">
        <v>1354</v>
      </c>
      <c r="E189" s="1">
        <v>854374</v>
      </c>
      <c r="F189" s="1">
        <v>650505</v>
      </c>
      <c r="G189" s="1" t="s">
        <v>13</v>
      </c>
      <c r="H189" s="1">
        <f>Table1[[#This Row],[Export_Value_USD]]-Table1[[#This Row],[Export_Cost_USD]]</f>
        <v>203869</v>
      </c>
      <c r="I189" s="1">
        <f>Table1[[#This Row],[Export_Value_USD]]/Table1[[#This Row],[Quantity_Tons]]</f>
        <v>631</v>
      </c>
      <c r="J189" s="1">
        <f>Table1[[#This Row],[Export_Cost_USD]]/Table1[[#This Row],[Quantity_Tons]]</f>
        <v>480.43205317577548</v>
      </c>
    </row>
    <row r="190" spans="1:10" x14ac:dyDescent="0.25">
      <c r="A190" s="1">
        <v>2022</v>
      </c>
      <c r="B190" s="1" t="s">
        <v>22</v>
      </c>
      <c r="C190" s="1" t="s">
        <v>23</v>
      </c>
      <c r="D190" s="1">
        <v>1807</v>
      </c>
      <c r="E190" s="1">
        <v>771589</v>
      </c>
      <c r="F190" s="1">
        <v>564836</v>
      </c>
      <c r="G190" s="1" t="s">
        <v>15</v>
      </c>
      <c r="H190" s="1">
        <f>Table1[[#This Row],[Export_Value_USD]]-Table1[[#This Row],[Export_Cost_USD]]</f>
        <v>206753</v>
      </c>
      <c r="I190" s="1">
        <f>Table1[[#This Row],[Export_Value_USD]]/Table1[[#This Row],[Quantity_Tons]]</f>
        <v>427</v>
      </c>
      <c r="J190" s="1">
        <f>Table1[[#This Row],[Export_Cost_USD]]/Table1[[#This Row],[Quantity_Tons]]</f>
        <v>312.58218040951851</v>
      </c>
    </row>
    <row r="191" spans="1:10" x14ac:dyDescent="0.25">
      <c r="A191" s="1">
        <v>2018</v>
      </c>
      <c r="B191" s="1" t="s">
        <v>22</v>
      </c>
      <c r="C191" s="1" t="s">
        <v>11</v>
      </c>
      <c r="D191" s="1">
        <v>947</v>
      </c>
      <c r="E191" s="1">
        <v>459295</v>
      </c>
      <c r="F191" s="1">
        <v>279800</v>
      </c>
      <c r="G191" s="1" t="s">
        <v>9</v>
      </c>
      <c r="H191" s="1">
        <f>Table1[[#This Row],[Export_Value_USD]]-Table1[[#This Row],[Export_Cost_USD]]</f>
        <v>179495</v>
      </c>
      <c r="I191" s="1">
        <f>Table1[[#This Row],[Export_Value_USD]]/Table1[[#This Row],[Quantity_Tons]]</f>
        <v>485</v>
      </c>
      <c r="J191" s="1">
        <f>Table1[[#This Row],[Export_Cost_USD]]/Table1[[#This Row],[Quantity_Tons]]</f>
        <v>295.45934530095036</v>
      </c>
    </row>
    <row r="192" spans="1:10" x14ac:dyDescent="0.25">
      <c r="A192" s="1">
        <v>2021</v>
      </c>
      <c r="B192" s="1" t="s">
        <v>7</v>
      </c>
      <c r="C192" s="1" t="s">
        <v>8</v>
      </c>
      <c r="D192" s="1">
        <v>1406</v>
      </c>
      <c r="E192" s="1">
        <v>975764</v>
      </c>
      <c r="F192" s="1">
        <v>590276</v>
      </c>
      <c r="G192" s="1" t="s">
        <v>9</v>
      </c>
      <c r="H192" s="1">
        <f>Table1[[#This Row],[Export_Value_USD]]-Table1[[#This Row],[Export_Cost_USD]]</f>
        <v>385488</v>
      </c>
      <c r="I192" s="1">
        <f>Table1[[#This Row],[Export_Value_USD]]/Table1[[#This Row],[Quantity_Tons]]</f>
        <v>694</v>
      </c>
      <c r="J192" s="1">
        <f>Table1[[#This Row],[Export_Cost_USD]]/Table1[[#This Row],[Quantity_Tons]]</f>
        <v>419.82645803698438</v>
      </c>
    </row>
    <row r="193" spans="1:10" x14ac:dyDescent="0.25">
      <c r="A193" s="1">
        <v>2018</v>
      </c>
      <c r="B193" s="1" t="s">
        <v>22</v>
      </c>
      <c r="C193" s="1" t="s">
        <v>24</v>
      </c>
      <c r="D193" s="1">
        <v>1672</v>
      </c>
      <c r="E193" s="1">
        <v>723976</v>
      </c>
      <c r="F193" s="1">
        <v>451094</v>
      </c>
      <c r="G193" s="1" t="s">
        <v>13</v>
      </c>
      <c r="H193" s="1">
        <f>Table1[[#This Row],[Export_Value_USD]]-Table1[[#This Row],[Export_Cost_USD]]</f>
        <v>272882</v>
      </c>
      <c r="I193" s="1">
        <f>Table1[[#This Row],[Export_Value_USD]]/Table1[[#This Row],[Quantity_Tons]]</f>
        <v>433</v>
      </c>
      <c r="J193" s="1">
        <f>Table1[[#This Row],[Export_Cost_USD]]/Table1[[#This Row],[Quantity_Tons]]</f>
        <v>269.79306220095691</v>
      </c>
    </row>
    <row r="194" spans="1:10" x14ac:dyDescent="0.25">
      <c r="A194" s="1">
        <v>2021</v>
      </c>
      <c r="B194" s="1" t="s">
        <v>16</v>
      </c>
      <c r="C194" s="1" t="s">
        <v>19</v>
      </c>
      <c r="D194" s="1">
        <v>1594</v>
      </c>
      <c r="E194" s="1">
        <v>951618</v>
      </c>
      <c r="F194" s="1">
        <v>624849</v>
      </c>
      <c r="G194" s="1" t="s">
        <v>15</v>
      </c>
      <c r="H194" s="1">
        <f>Table1[[#This Row],[Export_Value_USD]]-Table1[[#This Row],[Export_Cost_USD]]</f>
        <v>326769</v>
      </c>
      <c r="I194" s="1">
        <f>Table1[[#This Row],[Export_Value_USD]]/Table1[[#This Row],[Quantity_Tons]]</f>
        <v>597</v>
      </c>
      <c r="J194" s="1">
        <f>Table1[[#This Row],[Export_Cost_USD]]/Table1[[#This Row],[Quantity_Tons]]</f>
        <v>392.00062735257217</v>
      </c>
    </row>
    <row r="195" spans="1:10" x14ac:dyDescent="0.25">
      <c r="A195" s="1">
        <v>2023</v>
      </c>
      <c r="B195" s="1" t="s">
        <v>22</v>
      </c>
      <c r="C195" s="1" t="s">
        <v>24</v>
      </c>
      <c r="D195" s="1">
        <v>296</v>
      </c>
      <c r="E195" s="1">
        <v>198320</v>
      </c>
      <c r="F195" s="1">
        <v>146619</v>
      </c>
      <c r="G195" s="1" t="s">
        <v>13</v>
      </c>
      <c r="H195" s="1">
        <f>Table1[[#This Row],[Export_Value_USD]]-Table1[[#This Row],[Export_Cost_USD]]</f>
        <v>51701</v>
      </c>
      <c r="I195" s="1">
        <f>Table1[[#This Row],[Export_Value_USD]]/Table1[[#This Row],[Quantity_Tons]]</f>
        <v>670</v>
      </c>
      <c r="J195" s="1">
        <f>Table1[[#This Row],[Export_Cost_USD]]/Table1[[#This Row],[Quantity_Tons]]</f>
        <v>495.33445945945948</v>
      </c>
    </row>
    <row r="196" spans="1:10" x14ac:dyDescent="0.25">
      <c r="A196" s="1">
        <v>2021</v>
      </c>
      <c r="B196" s="1" t="s">
        <v>16</v>
      </c>
      <c r="C196" s="1" t="s">
        <v>20</v>
      </c>
      <c r="D196" s="1">
        <v>495</v>
      </c>
      <c r="E196" s="1">
        <v>303435</v>
      </c>
      <c r="F196" s="1">
        <v>192755</v>
      </c>
      <c r="G196" s="1" t="s">
        <v>15</v>
      </c>
      <c r="H196" s="1">
        <f>Table1[[#This Row],[Export_Value_USD]]-Table1[[#This Row],[Export_Cost_USD]]</f>
        <v>110680</v>
      </c>
      <c r="I196" s="1">
        <f>Table1[[#This Row],[Export_Value_USD]]/Table1[[#This Row],[Quantity_Tons]]</f>
        <v>613</v>
      </c>
      <c r="J196" s="1">
        <f>Table1[[#This Row],[Export_Cost_USD]]/Table1[[#This Row],[Quantity_Tons]]</f>
        <v>389.40404040404042</v>
      </c>
    </row>
    <row r="197" spans="1:10" x14ac:dyDescent="0.25">
      <c r="A197" s="1">
        <v>2019</v>
      </c>
      <c r="B197" s="1" t="s">
        <v>7</v>
      </c>
      <c r="C197" s="1" t="s">
        <v>11</v>
      </c>
      <c r="D197" s="1">
        <v>1400</v>
      </c>
      <c r="E197" s="1">
        <v>679000</v>
      </c>
      <c r="F197" s="1">
        <v>483886</v>
      </c>
      <c r="G197" s="1" t="s">
        <v>9</v>
      </c>
      <c r="H197" s="1">
        <f>Table1[[#This Row],[Export_Value_USD]]-Table1[[#This Row],[Export_Cost_USD]]</f>
        <v>195114</v>
      </c>
      <c r="I197" s="1">
        <f>Table1[[#This Row],[Export_Value_USD]]/Table1[[#This Row],[Quantity_Tons]]</f>
        <v>485</v>
      </c>
      <c r="J197" s="1">
        <f>Table1[[#This Row],[Export_Cost_USD]]/Table1[[#This Row],[Quantity_Tons]]</f>
        <v>345.63285714285712</v>
      </c>
    </row>
    <row r="198" spans="1:10" x14ac:dyDescent="0.25">
      <c r="A198" s="1">
        <v>2019</v>
      </c>
      <c r="B198" s="1" t="s">
        <v>17</v>
      </c>
      <c r="C198" s="1" t="s">
        <v>18</v>
      </c>
      <c r="D198" s="1">
        <v>1921</v>
      </c>
      <c r="E198" s="1">
        <v>891344</v>
      </c>
      <c r="F198" s="1">
        <v>535150</v>
      </c>
      <c r="G198" s="1" t="s">
        <v>9</v>
      </c>
      <c r="H198" s="1">
        <f>Table1[[#This Row],[Export_Value_USD]]-Table1[[#This Row],[Export_Cost_USD]]</f>
        <v>356194</v>
      </c>
      <c r="I198" s="1">
        <f>Table1[[#This Row],[Export_Value_USD]]/Table1[[#This Row],[Quantity_Tons]]</f>
        <v>464</v>
      </c>
      <c r="J198" s="1">
        <f>Table1[[#This Row],[Export_Cost_USD]]/Table1[[#This Row],[Quantity_Tons]]</f>
        <v>278.57886517438834</v>
      </c>
    </row>
    <row r="199" spans="1:10" x14ac:dyDescent="0.25">
      <c r="A199" s="1">
        <v>2019</v>
      </c>
      <c r="B199" s="1" t="s">
        <v>12</v>
      </c>
      <c r="C199" s="1" t="s">
        <v>19</v>
      </c>
      <c r="D199" s="1">
        <v>1691</v>
      </c>
      <c r="E199" s="1">
        <v>730512</v>
      </c>
      <c r="F199" s="1">
        <v>571443</v>
      </c>
      <c r="G199" s="1" t="s">
        <v>15</v>
      </c>
      <c r="H199" s="1">
        <f>Table1[[#This Row],[Export_Value_USD]]-Table1[[#This Row],[Export_Cost_USD]]</f>
        <v>159069</v>
      </c>
      <c r="I199" s="1">
        <f>Table1[[#This Row],[Export_Value_USD]]/Table1[[#This Row],[Quantity_Tons]]</f>
        <v>432</v>
      </c>
      <c r="J199" s="1">
        <f>Table1[[#This Row],[Export_Cost_USD]]/Table1[[#This Row],[Quantity_Tons]]</f>
        <v>337.93199290360735</v>
      </c>
    </row>
    <row r="200" spans="1:10" x14ac:dyDescent="0.25">
      <c r="A200" s="1">
        <v>2022</v>
      </c>
      <c r="B200" s="1" t="s">
        <v>16</v>
      </c>
      <c r="C200" s="1" t="s">
        <v>21</v>
      </c>
      <c r="D200" s="1">
        <v>422</v>
      </c>
      <c r="E200" s="1">
        <v>267970</v>
      </c>
      <c r="F200" s="1">
        <v>207233</v>
      </c>
      <c r="G200" s="1" t="s">
        <v>15</v>
      </c>
      <c r="H200" s="1">
        <f>Table1[[#This Row],[Export_Value_USD]]-Table1[[#This Row],[Export_Cost_USD]]</f>
        <v>60737</v>
      </c>
      <c r="I200" s="1">
        <f>Table1[[#This Row],[Export_Value_USD]]/Table1[[#This Row],[Quantity_Tons]]</f>
        <v>635</v>
      </c>
      <c r="J200" s="1">
        <f>Table1[[#This Row],[Export_Cost_USD]]/Table1[[#This Row],[Quantity_Tons]]</f>
        <v>491.07345971563979</v>
      </c>
    </row>
    <row r="201" spans="1:10" x14ac:dyDescent="0.25">
      <c r="A201" s="1">
        <v>2021</v>
      </c>
      <c r="B201" s="1" t="s">
        <v>17</v>
      </c>
      <c r="C201" s="1" t="s">
        <v>19</v>
      </c>
      <c r="D201" s="1">
        <v>1791</v>
      </c>
      <c r="E201" s="1">
        <v>1167732</v>
      </c>
      <c r="F201" s="1">
        <v>848144</v>
      </c>
      <c r="G201" s="1" t="s">
        <v>9</v>
      </c>
      <c r="H201" s="1">
        <f>Table1[[#This Row],[Export_Value_USD]]-Table1[[#This Row],[Export_Cost_USD]]</f>
        <v>319588</v>
      </c>
      <c r="I201" s="1">
        <f>Table1[[#This Row],[Export_Value_USD]]/Table1[[#This Row],[Quantity_Tons]]</f>
        <v>652</v>
      </c>
      <c r="J201" s="1">
        <f>Table1[[#This Row],[Export_Cost_USD]]/Table1[[#This Row],[Quantity_Tons]]</f>
        <v>473.55890563930762</v>
      </c>
    </row>
    <row r="202" spans="1:10" x14ac:dyDescent="0.25">
      <c r="A202" s="1">
        <v>2019</v>
      </c>
      <c r="B202" s="1" t="s">
        <v>22</v>
      </c>
      <c r="C202" s="1" t="s">
        <v>19</v>
      </c>
      <c r="D202" s="1">
        <v>1498</v>
      </c>
      <c r="E202" s="1">
        <v>918274</v>
      </c>
      <c r="F202" s="1">
        <v>584036</v>
      </c>
      <c r="G202" s="1" t="s">
        <v>13</v>
      </c>
      <c r="H202" s="1">
        <f>Table1[[#This Row],[Export_Value_USD]]-Table1[[#This Row],[Export_Cost_USD]]</f>
        <v>334238</v>
      </c>
      <c r="I202" s="1">
        <f>Table1[[#This Row],[Export_Value_USD]]/Table1[[#This Row],[Quantity_Tons]]</f>
        <v>613</v>
      </c>
      <c r="J202" s="1">
        <f>Table1[[#This Row],[Export_Cost_USD]]/Table1[[#This Row],[Quantity_Tons]]</f>
        <v>389.87716955941255</v>
      </c>
    </row>
    <row r="203" spans="1:10" x14ac:dyDescent="0.25">
      <c r="A203" s="1">
        <v>2021</v>
      </c>
      <c r="B203" s="1" t="s">
        <v>12</v>
      </c>
      <c r="C203" s="1" t="s">
        <v>11</v>
      </c>
      <c r="D203" s="1">
        <v>1519</v>
      </c>
      <c r="E203" s="1">
        <v>644056</v>
      </c>
      <c r="F203" s="1">
        <v>434746</v>
      </c>
      <c r="G203" s="1" t="s">
        <v>13</v>
      </c>
      <c r="H203" s="1">
        <f>Table1[[#This Row],[Export_Value_USD]]-Table1[[#This Row],[Export_Cost_USD]]</f>
        <v>209310</v>
      </c>
      <c r="I203" s="1">
        <f>Table1[[#This Row],[Export_Value_USD]]/Table1[[#This Row],[Quantity_Tons]]</f>
        <v>424</v>
      </c>
      <c r="J203" s="1">
        <f>Table1[[#This Row],[Export_Cost_USD]]/Table1[[#This Row],[Quantity_Tons]]</f>
        <v>286.20539828834762</v>
      </c>
    </row>
    <row r="204" spans="1:10" x14ac:dyDescent="0.25">
      <c r="A204" s="1">
        <v>2019</v>
      </c>
      <c r="B204" s="1" t="s">
        <v>12</v>
      </c>
      <c r="C204" s="1" t="s">
        <v>24</v>
      </c>
      <c r="D204" s="1">
        <v>1867</v>
      </c>
      <c r="E204" s="1">
        <v>1267693</v>
      </c>
      <c r="F204" s="1">
        <v>764694</v>
      </c>
      <c r="G204" s="1" t="s">
        <v>15</v>
      </c>
      <c r="H204" s="1">
        <f>Table1[[#This Row],[Export_Value_USD]]-Table1[[#This Row],[Export_Cost_USD]]</f>
        <v>502999</v>
      </c>
      <c r="I204" s="1">
        <f>Table1[[#This Row],[Export_Value_USD]]/Table1[[#This Row],[Quantity_Tons]]</f>
        <v>679</v>
      </c>
      <c r="J204" s="1">
        <f>Table1[[#This Row],[Export_Cost_USD]]/Table1[[#This Row],[Quantity_Tons]]</f>
        <v>409.58435993572579</v>
      </c>
    </row>
    <row r="205" spans="1:10" x14ac:dyDescent="0.25">
      <c r="A205" s="1">
        <v>2020</v>
      </c>
      <c r="B205" s="1" t="s">
        <v>17</v>
      </c>
      <c r="C205" s="1" t="s">
        <v>19</v>
      </c>
      <c r="D205" s="1">
        <v>1662</v>
      </c>
      <c r="E205" s="1">
        <v>742914</v>
      </c>
      <c r="F205" s="1">
        <v>526821</v>
      </c>
      <c r="G205" s="1" t="s">
        <v>9</v>
      </c>
      <c r="H205" s="1">
        <f>Table1[[#This Row],[Export_Value_USD]]-Table1[[#This Row],[Export_Cost_USD]]</f>
        <v>216093</v>
      </c>
      <c r="I205" s="1">
        <f>Table1[[#This Row],[Export_Value_USD]]/Table1[[#This Row],[Quantity_Tons]]</f>
        <v>447</v>
      </c>
      <c r="J205" s="1">
        <f>Table1[[#This Row],[Export_Cost_USD]]/Table1[[#This Row],[Quantity_Tons]]</f>
        <v>316.98014440433212</v>
      </c>
    </row>
    <row r="206" spans="1:10" x14ac:dyDescent="0.25">
      <c r="A206" s="1">
        <v>2022</v>
      </c>
      <c r="B206" s="1" t="s">
        <v>7</v>
      </c>
      <c r="C206" s="1" t="s">
        <v>11</v>
      </c>
      <c r="D206" s="1">
        <v>1138</v>
      </c>
      <c r="E206" s="1">
        <v>522342</v>
      </c>
      <c r="F206" s="1">
        <v>333742</v>
      </c>
      <c r="G206" s="1" t="s">
        <v>13</v>
      </c>
      <c r="H206" s="1">
        <f>Table1[[#This Row],[Export_Value_USD]]-Table1[[#This Row],[Export_Cost_USD]]</f>
        <v>188600</v>
      </c>
      <c r="I206" s="1">
        <f>Table1[[#This Row],[Export_Value_USD]]/Table1[[#This Row],[Quantity_Tons]]</f>
        <v>459</v>
      </c>
      <c r="J206" s="1">
        <f>Table1[[#This Row],[Export_Cost_USD]]/Table1[[#This Row],[Quantity_Tons]]</f>
        <v>293.27065026362038</v>
      </c>
    </row>
    <row r="207" spans="1:10" x14ac:dyDescent="0.25">
      <c r="A207" s="1">
        <v>2021</v>
      </c>
      <c r="B207" s="1" t="s">
        <v>12</v>
      </c>
      <c r="C207" s="1" t="s">
        <v>23</v>
      </c>
      <c r="D207" s="1">
        <v>857</v>
      </c>
      <c r="E207" s="1">
        <v>540767</v>
      </c>
      <c r="F207" s="1">
        <v>379533</v>
      </c>
      <c r="G207" s="1" t="s">
        <v>13</v>
      </c>
      <c r="H207" s="1">
        <f>Table1[[#This Row],[Export_Value_USD]]-Table1[[#This Row],[Export_Cost_USD]]</f>
        <v>161234</v>
      </c>
      <c r="I207" s="1">
        <f>Table1[[#This Row],[Export_Value_USD]]/Table1[[#This Row],[Quantity_Tons]]</f>
        <v>631</v>
      </c>
      <c r="J207" s="1">
        <f>Table1[[#This Row],[Export_Cost_USD]]/Table1[[#This Row],[Quantity_Tons]]</f>
        <v>442.86231038506418</v>
      </c>
    </row>
    <row r="208" spans="1:10" x14ac:dyDescent="0.25">
      <c r="A208" s="1">
        <v>2023</v>
      </c>
      <c r="B208" s="1" t="s">
        <v>12</v>
      </c>
      <c r="C208" s="1" t="s">
        <v>8</v>
      </c>
      <c r="D208" s="1">
        <v>1072</v>
      </c>
      <c r="E208" s="1">
        <v>710736</v>
      </c>
      <c r="F208" s="1">
        <v>439596</v>
      </c>
      <c r="G208" s="1" t="s">
        <v>15</v>
      </c>
      <c r="H208" s="1">
        <f>Table1[[#This Row],[Export_Value_USD]]-Table1[[#This Row],[Export_Cost_USD]]</f>
        <v>271140</v>
      </c>
      <c r="I208" s="1">
        <f>Table1[[#This Row],[Export_Value_USD]]/Table1[[#This Row],[Quantity_Tons]]</f>
        <v>663</v>
      </c>
      <c r="J208" s="1">
        <f>Table1[[#This Row],[Export_Cost_USD]]/Table1[[#This Row],[Quantity_Tons]]</f>
        <v>410.07089552238807</v>
      </c>
    </row>
    <row r="209" spans="1:10" x14ac:dyDescent="0.25">
      <c r="A209" s="1">
        <v>2019</v>
      </c>
      <c r="B209" s="1" t="s">
        <v>10</v>
      </c>
      <c r="C209" s="1" t="s">
        <v>14</v>
      </c>
      <c r="D209" s="1">
        <v>626</v>
      </c>
      <c r="E209" s="1">
        <v>354942</v>
      </c>
      <c r="F209" s="1">
        <v>254385</v>
      </c>
      <c r="G209" s="1" t="s">
        <v>15</v>
      </c>
      <c r="H209" s="1">
        <f>Table1[[#This Row],[Export_Value_USD]]-Table1[[#This Row],[Export_Cost_USD]]</f>
        <v>100557</v>
      </c>
      <c r="I209" s="1">
        <f>Table1[[#This Row],[Export_Value_USD]]/Table1[[#This Row],[Quantity_Tons]]</f>
        <v>567</v>
      </c>
      <c r="J209" s="1">
        <f>Table1[[#This Row],[Export_Cost_USD]]/Table1[[#This Row],[Quantity_Tons]]</f>
        <v>406.36581469648564</v>
      </c>
    </row>
    <row r="210" spans="1:10" x14ac:dyDescent="0.25">
      <c r="A210" s="1">
        <v>2023</v>
      </c>
      <c r="B210" s="1" t="s">
        <v>7</v>
      </c>
      <c r="C210" s="1" t="s">
        <v>14</v>
      </c>
      <c r="D210" s="1">
        <v>966</v>
      </c>
      <c r="E210" s="1">
        <v>533232</v>
      </c>
      <c r="F210" s="1">
        <v>410336</v>
      </c>
      <c r="G210" s="1" t="s">
        <v>15</v>
      </c>
      <c r="H210" s="1">
        <f>Table1[[#This Row],[Export_Value_USD]]-Table1[[#This Row],[Export_Cost_USD]]</f>
        <v>122896</v>
      </c>
      <c r="I210" s="1">
        <f>Table1[[#This Row],[Export_Value_USD]]/Table1[[#This Row],[Quantity_Tons]]</f>
        <v>552</v>
      </c>
      <c r="J210" s="1">
        <f>Table1[[#This Row],[Export_Cost_USD]]/Table1[[#This Row],[Quantity_Tons]]</f>
        <v>424.77846790890271</v>
      </c>
    </row>
    <row r="211" spans="1:10" x14ac:dyDescent="0.25">
      <c r="A211" s="1">
        <v>2018</v>
      </c>
      <c r="B211" s="1" t="s">
        <v>16</v>
      </c>
      <c r="C211" s="1" t="s">
        <v>14</v>
      </c>
      <c r="D211" s="1">
        <v>952</v>
      </c>
      <c r="E211" s="1">
        <v>611184</v>
      </c>
      <c r="F211" s="1">
        <v>468164</v>
      </c>
      <c r="G211" s="1" t="s">
        <v>15</v>
      </c>
      <c r="H211" s="1">
        <f>Table1[[#This Row],[Export_Value_USD]]-Table1[[#This Row],[Export_Cost_USD]]</f>
        <v>143020</v>
      </c>
      <c r="I211" s="1">
        <f>Table1[[#This Row],[Export_Value_USD]]/Table1[[#This Row],[Quantity_Tons]]</f>
        <v>642</v>
      </c>
      <c r="J211" s="1">
        <f>Table1[[#This Row],[Export_Cost_USD]]/Table1[[#This Row],[Quantity_Tons]]</f>
        <v>491.76890756302521</v>
      </c>
    </row>
    <row r="212" spans="1:10" x14ac:dyDescent="0.25">
      <c r="A212" s="1">
        <v>2021</v>
      </c>
      <c r="B212" s="1" t="s">
        <v>10</v>
      </c>
      <c r="C212" s="1" t="s">
        <v>24</v>
      </c>
      <c r="D212" s="1">
        <v>1054</v>
      </c>
      <c r="E212" s="1">
        <v>438464</v>
      </c>
      <c r="F212" s="1">
        <v>279751</v>
      </c>
      <c r="G212" s="1" t="s">
        <v>9</v>
      </c>
      <c r="H212" s="1">
        <f>Table1[[#This Row],[Export_Value_USD]]-Table1[[#This Row],[Export_Cost_USD]]</f>
        <v>158713</v>
      </c>
      <c r="I212" s="1">
        <f>Table1[[#This Row],[Export_Value_USD]]/Table1[[#This Row],[Quantity_Tons]]</f>
        <v>416</v>
      </c>
      <c r="J212" s="1">
        <f>Table1[[#This Row],[Export_Cost_USD]]/Table1[[#This Row],[Quantity_Tons]]</f>
        <v>265.41840607210628</v>
      </c>
    </row>
    <row r="213" spans="1:10" x14ac:dyDescent="0.25">
      <c r="A213" s="1">
        <v>2023</v>
      </c>
      <c r="B213" s="1" t="s">
        <v>7</v>
      </c>
      <c r="C213" s="1" t="s">
        <v>19</v>
      </c>
      <c r="D213" s="1">
        <v>847</v>
      </c>
      <c r="E213" s="1">
        <v>442981</v>
      </c>
      <c r="F213" s="1">
        <v>353028</v>
      </c>
      <c r="G213" s="1" t="s">
        <v>13</v>
      </c>
      <c r="H213" s="1">
        <f>Table1[[#This Row],[Export_Value_USD]]-Table1[[#This Row],[Export_Cost_USD]]</f>
        <v>89953</v>
      </c>
      <c r="I213" s="1">
        <f>Table1[[#This Row],[Export_Value_USD]]/Table1[[#This Row],[Quantity_Tons]]</f>
        <v>523</v>
      </c>
      <c r="J213" s="1">
        <f>Table1[[#This Row],[Export_Cost_USD]]/Table1[[#This Row],[Quantity_Tons]]</f>
        <v>416.79811097992916</v>
      </c>
    </row>
    <row r="214" spans="1:10" x14ac:dyDescent="0.25">
      <c r="A214" s="1">
        <v>2020</v>
      </c>
      <c r="B214" s="1" t="s">
        <v>17</v>
      </c>
      <c r="C214" s="1" t="s">
        <v>8</v>
      </c>
      <c r="D214" s="1">
        <v>1002</v>
      </c>
      <c r="E214" s="1">
        <v>678354</v>
      </c>
      <c r="F214" s="1">
        <v>485468</v>
      </c>
      <c r="G214" s="1" t="s">
        <v>9</v>
      </c>
      <c r="H214" s="1">
        <f>Table1[[#This Row],[Export_Value_USD]]-Table1[[#This Row],[Export_Cost_USD]]</f>
        <v>192886</v>
      </c>
      <c r="I214" s="1">
        <f>Table1[[#This Row],[Export_Value_USD]]/Table1[[#This Row],[Quantity_Tons]]</f>
        <v>677</v>
      </c>
      <c r="J214" s="1">
        <f>Table1[[#This Row],[Export_Cost_USD]]/Table1[[#This Row],[Quantity_Tons]]</f>
        <v>484.49900199600796</v>
      </c>
    </row>
    <row r="215" spans="1:10" x14ac:dyDescent="0.25">
      <c r="A215" s="1">
        <v>2018</v>
      </c>
      <c r="B215" s="1" t="s">
        <v>10</v>
      </c>
      <c r="C215" s="1" t="s">
        <v>14</v>
      </c>
      <c r="D215" s="1">
        <v>1864</v>
      </c>
      <c r="E215" s="1">
        <v>1101624</v>
      </c>
      <c r="F215" s="1">
        <v>800534</v>
      </c>
      <c r="G215" s="1" t="s">
        <v>9</v>
      </c>
      <c r="H215" s="1">
        <f>Table1[[#This Row],[Export_Value_USD]]-Table1[[#This Row],[Export_Cost_USD]]</f>
        <v>301090</v>
      </c>
      <c r="I215" s="1">
        <f>Table1[[#This Row],[Export_Value_USD]]/Table1[[#This Row],[Quantity_Tons]]</f>
        <v>591</v>
      </c>
      <c r="J215" s="1">
        <f>Table1[[#This Row],[Export_Cost_USD]]/Table1[[#This Row],[Quantity_Tons]]</f>
        <v>429.47103004291847</v>
      </c>
    </row>
    <row r="216" spans="1:10" x14ac:dyDescent="0.25">
      <c r="A216" s="1">
        <v>2021</v>
      </c>
      <c r="B216" s="1" t="s">
        <v>10</v>
      </c>
      <c r="C216" s="1" t="s">
        <v>24</v>
      </c>
      <c r="D216" s="1">
        <v>1551</v>
      </c>
      <c r="E216" s="1">
        <v>640563</v>
      </c>
      <c r="F216" s="1">
        <v>413079</v>
      </c>
      <c r="G216" s="1" t="s">
        <v>9</v>
      </c>
      <c r="H216" s="1">
        <f>Table1[[#This Row],[Export_Value_USD]]-Table1[[#This Row],[Export_Cost_USD]]</f>
        <v>227484</v>
      </c>
      <c r="I216" s="1">
        <f>Table1[[#This Row],[Export_Value_USD]]/Table1[[#This Row],[Quantity_Tons]]</f>
        <v>413</v>
      </c>
      <c r="J216" s="1">
        <f>Table1[[#This Row],[Export_Cost_USD]]/Table1[[#This Row],[Quantity_Tons]]</f>
        <v>266.33075435203097</v>
      </c>
    </row>
    <row r="217" spans="1:10" x14ac:dyDescent="0.25">
      <c r="A217" s="1">
        <v>2021</v>
      </c>
      <c r="B217" s="1" t="s">
        <v>7</v>
      </c>
      <c r="C217" s="1" t="s">
        <v>19</v>
      </c>
      <c r="D217" s="1">
        <v>202</v>
      </c>
      <c r="E217" s="1">
        <v>109080</v>
      </c>
      <c r="F217" s="1">
        <v>68895</v>
      </c>
      <c r="G217" s="1" t="s">
        <v>9</v>
      </c>
      <c r="H217" s="1">
        <f>Table1[[#This Row],[Export_Value_USD]]-Table1[[#This Row],[Export_Cost_USD]]</f>
        <v>40185</v>
      </c>
      <c r="I217" s="1">
        <f>Table1[[#This Row],[Export_Value_USD]]/Table1[[#This Row],[Quantity_Tons]]</f>
        <v>540</v>
      </c>
      <c r="J217" s="1">
        <f>Table1[[#This Row],[Export_Cost_USD]]/Table1[[#This Row],[Quantity_Tons]]</f>
        <v>341.06435643564356</v>
      </c>
    </row>
    <row r="218" spans="1:10" x14ac:dyDescent="0.25">
      <c r="A218" s="1">
        <v>2022</v>
      </c>
      <c r="B218" s="1" t="s">
        <v>22</v>
      </c>
      <c r="C218" s="1" t="s">
        <v>8</v>
      </c>
      <c r="D218" s="1">
        <v>1180</v>
      </c>
      <c r="E218" s="1">
        <v>641920</v>
      </c>
      <c r="F218" s="1">
        <v>481604</v>
      </c>
      <c r="G218" s="1" t="s">
        <v>15</v>
      </c>
      <c r="H218" s="1">
        <f>Table1[[#This Row],[Export_Value_USD]]-Table1[[#This Row],[Export_Cost_USD]]</f>
        <v>160316</v>
      </c>
      <c r="I218" s="1">
        <f>Table1[[#This Row],[Export_Value_USD]]/Table1[[#This Row],[Quantity_Tons]]</f>
        <v>544</v>
      </c>
      <c r="J218" s="1">
        <f>Table1[[#This Row],[Export_Cost_USD]]/Table1[[#This Row],[Quantity_Tons]]</f>
        <v>408.13898305084746</v>
      </c>
    </row>
    <row r="219" spans="1:10" x14ac:dyDescent="0.25">
      <c r="A219" s="1">
        <v>2018</v>
      </c>
      <c r="B219" s="1" t="s">
        <v>10</v>
      </c>
      <c r="C219" s="1" t="s">
        <v>24</v>
      </c>
      <c r="D219" s="1">
        <v>893</v>
      </c>
      <c r="E219" s="1">
        <v>513475</v>
      </c>
      <c r="F219" s="1">
        <v>378578</v>
      </c>
      <c r="G219" s="1" t="s">
        <v>13</v>
      </c>
      <c r="H219" s="1">
        <f>Table1[[#This Row],[Export_Value_USD]]-Table1[[#This Row],[Export_Cost_USD]]</f>
        <v>134897</v>
      </c>
      <c r="I219" s="1">
        <f>Table1[[#This Row],[Export_Value_USD]]/Table1[[#This Row],[Quantity_Tons]]</f>
        <v>575</v>
      </c>
      <c r="J219" s="1">
        <f>Table1[[#This Row],[Export_Cost_USD]]/Table1[[#This Row],[Quantity_Tons]]</f>
        <v>423.93952967525195</v>
      </c>
    </row>
    <row r="220" spans="1:10" x14ac:dyDescent="0.25">
      <c r="A220" s="1">
        <v>2018</v>
      </c>
      <c r="B220" s="1" t="s">
        <v>7</v>
      </c>
      <c r="C220" s="1" t="s">
        <v>18</v>
      </c>
      <c r="D220" s="1">
        <v>1303</v>
      </c>
      <c r="E220" s="1">
        <v>832617</v>
      </c>
      <c r="F220" s="1">
        <v>531218</v>
      </c>
      <c r="G220" s="1" t="s">
        <v>9</v>
      </c>
      <c r="H220" s="1">
        <f>Table1[[#This Row],[Export_Value_USD]]-Table1[[#This Row],[Export_Cost_USD]]</f>
        <v>301399</v>
      </c>
      <c r="I220" s="1">
        <f>Table1[[#This Row],[Export_Value_USD]]/Table1[[#This Row],[Quantity_Tons]]</f>
        <v>639</v>
      </c>
      <c r="J220" s="1">
        <f>Table1[[#This Row],[Export_Cost_USD]]/Table1[[#This Row],[Quantity_Tons]]</f>
        <v>407.6884113584037</v>
      </c>
    </row>
    <row r="221" spans="1:10" x14ac:dyDescent="0.25">
      <c r="A221" s="1">
        <v>2022</v>
      </c>
      <c r="B221" s="1" t="s">
        <v>16</v>
      </c>
      <c r="C221" s="1" t="s">
        <v>11</v>
      </c>
      <c r="D221" s="1">
        <v>1408</v>
      </c>
      <c r="E221" s="1">
        <v>809600</v>
      </c>
      <c r="F221" s="1">
        <v>520548</v>
      </c>
      <c r="G221" s="1" t="s">
        <v>9</v>
      </c>
      <c r="H221" s="1">
        <f>Table1[[#This Row],[Export_Value_USD]]-Table1[[#This Row],[Export_Cost_USD]]</f>
        <v>289052</v>
      </c>
      <c r="I221" s="1">
        <f>Table1[[#This Row],[Export_Value_USD]]/Table1[[#This Row],[Quantity_Tons]]</f>
        <v>575</v>
      </c>
      <c r="J221" s="1">
        <f>Table1[[#This Row],[Export_Cost_USD]]/Table1[[#This Row],[Quantity_Tons]]</f>
        <v>369.70738636363637</v>
      </c>
    </row>
    <row r="222" spans="1:10" x14ac:dyDescent="0.25">
      <c r="A222" s="1">
        <v>2018</v>
      </c>
      <c r="B222" s="1" t="s">
        <v>7</v>
      </c>
      <c r="C222" s="1" t="s">
        <v>21</v>
      </c>
      <c r="D222" s="1">
        <v>1754</v>
      </c>
      <c r="E222" s="1">
        <v>887524</v>
      </c>
      <c r="F222" s="1">
        <v>586388</v>
      </c>
      <c r="G222" s="1" t="s">
        <v>9</v>
      </c>
      <c r="H222" s="1">
        <f>Table1[[#This Row],[Export_Value_USD]]-Table1[[#This Row],[Export_Cost_USD]]</f>
        <v>301136</v>
      </c>
      <c r="I222" s="1">
        <f>Table1[[#This Row],[Export_Value_USD]]/Table1[[#This Row],[Quantity_Tons]]</f>
        <v>506</v>
      </c>
      <c r="J222" s="1">
        <f>Table1[[#This Row],[Export_Cost_USD]]/Table1[[#This Row],[Quantity_Tons]]</f>
        <v>334.31470923603194</v>
      </c>
    </row>
    <row r="223" spans="1:10" x14ac:dyDescent="0.25">
      <c r="A223" s="1">
        <v>2020</v>
      </c>
      <c r="B223" s="1" t="s">
        <v>17</v>
      </c>
      <c r="C223" s="1" t="s">
        <v>23</v>
      </c>
      <c r="D223" s="1">
        <v>1291</v>
      </c>
      <c r="E223" s="1">
        <v>560294</v>
      </c>
      <c r="F223" s="1">
        <v>345801</v>
      </c>
      <c r="G223" s="1" t="s">
        <v>15</v>
      </c>
      <c r="H223" s="1">
        <f>Table1[[#This Row],[Export_Value_USD]]-Table1[[#This Row],[Export_Cost_USD]]</f>
        <v>214493</v>
      </c>
      <c r="I223" s="1">
        <f>Table1[[#This Row],[Export_Value_USD]]/Table1[[#This Row],[Quantity_Tons]]</f>
        <v>434</v>
      </c>
      <c r="J223" s="1">
        <f>Table1[[#This Row],[Export_Cost_USD]]/Table1[[#This Row],[Quantity_Tons]]</f>
        <v>267.85515104570101</v>
      </c>
    </row>
    <row r="224" spans="1:10" x14ac:dyDescent="0.25">
      <c r="A224" s="1">
        <v>2022</v>
      </c>
      <c r="B224" s="1" t="s">
        <v>22</v>
      </c>
      <c r="C224" s="1" t="s">
        <v>24</v>
      </c>
      <c r="D224" s="1">
        <v>314</v>
      </c>
      <c r="E224" s="1">
        <v>146324</v>
      </c>
      <c r="F224" s="1">
        <v>103441</v>
      </c>
      <c r="G224" s="1" t="s">
        <v>15</v>
      </c>
      <c r="H224" s="1">
        <f>Table1[[#This Row],[Export_Value_USD]]-Table1[[#This Row],[Export_Cost_USD]]</f>
        <v>42883</v>
      </c>
      <c r="I224" s="1">
        <f>Table1[[#This Row],[Export_Value_USD]]/Table1[[#This Row],[Quantity_Tons]]</f>
        <v>466</v>
      </c>
      <c r="J224" s="1">
        <f>Table1[[#This Row],[Export_Cost_USD]]/Table1[[#This Row],[Quantity_Tons]]</f>
        <v>329.4299363057325</v>
      </c>
    </row>
    <row r="225" spans="1:10" x14ac:dyDescent="0.25">
      <c r="A225" s="1">
        <v>2022</v>
      </c>
      <c r="B225" s="1" t="s">
        <v>22</v>
      </c>
      <c r="C225" s="1" t="s">
        <v>14</v>
      </c>
      <c r="D225" s="1">
        <v>1566</v>
      </c>
      <c r="E225" s="1">
        <v>786132</v>
      </c>
      <c r="F225" s="1">
        <v>615001</v>
      </c>
      <c r="G225" s="1" t="s">
        <v>15</v>
      </c>
      <c r="H225" s="1">
        <f>Table1[[#This Row],[Export_Value_USD]]-Table1[[#This Row],[Export_Cost_USD]]</f>
        <v>171131</v>
      </c>
      <c r="I225" s="1">
        <f>Table1[[#This Row],[Export_Value_USD]]/Table1[[#This Row],[Quantity_Tons]]</f>
        <v>502</v>
      </c>
      <c r="J225" s="1">
        <f>Table1[[#This Row],[Export_Cost_USD]]/Table1[[#This Row],[Quantity_Tons]]</f>
        <v>392.72094508301404</v>
      </c>
    </row>
    <row r="226" spans="1:10" x14ac:dyDescent="0.25">
      <c r="A226" s="1">
        <v>2021</v>
      </c>
      <c r="B226" s="1" t="s">
        <v>12</v>
      </c>
      <c r="C226" s="1" t="s">
        <v>23</v>
      </c>
      <c r="D226" s="1">
        <v>324</v>
      </c>
      <c r="E226" s="1">
        <v>174636</v>
      </c>
      <c r="F226" s="1">
        <v>135156</v>
      </c>
      <c r="G226" s="1" t="s">
        <v>13</v>
      </c>
      <c r="H226" s="1">
        <f>Table1[[#This Row],[Export_Value_USD]]-Table1[[#This Row],[Export_Cost_USD]]</f>
        <v>39480</v>
      </c>
      <c r="I226" s="1">
        <f>Table1[[#This Row],[Export_Value_USD]]/Table1[[#This Row],[Quantity_Tons]]</f>
        <v>539</v>
      </c>
      <c r="J226" s="1">
        <f>Table1[[#This Row],[Export_Cost_USD]]/Table1[[#This Row],[Quantity_Tons]]</f>
        <v>417.14814814814815</v>
      </c>
    </row>
    <row r="227" spans="1:10" x14ac:dyDescent="0.25">
      <c r="A227" s="1">
        <v>2023</v>
      </c>
      <c r="B227" s="1" t="s">
        <v>17</v>
      </c>
      <c r="C227" s="1" t="s">
        <v>24</v>
      </c>
      <c r="D227" s="1">
        <v>329</v>
      </c>
      <c r="E227" s="1">
        <v>195755</v>
      </c>
      <c r="F227" s="1">
        <v>135982</v>
      </c>
      <c r="G227" s="1" t="s">
        <v>15</v>
      </c>
      <c r="H227" s="1">
        <f>Table1[[#This Row],[Export_Value_USD]]-Table1[[#This Row],[Export_Cost_USD]]</f>
        <v>59773</v>
      </c>
      <c r="I227" s="1">
        <f>Table1[[#This Row],[Export_Value_USD]]/Table1[[#This Row],[Quantity_Tons]]</f>
        <v>595</v>
      </c>
      <c r="J227" s="1">
        <f>Table1[[#This Row],[Export_Cost_USD]]/Table1[[#This Row],[Quantity_Tons]]</f>
        <v>413.31914893617022</v>
      </c>
    </row>
    <row r="228" spans="1:10" x14ac:dyDescent="0.25">
      <c r="A228" s="1">
        <v>2021</v>
      </c>
      <c r="B228" s="1" t="s">
        <v>7</v>
      </c>
      <c r="C228" s="1" t="s">
        <v>24</v>
      </c>
      <c r="D228" s="1">
        <v>542</v>
      </c>
      <c r="E228" s="1">
        <v>308940</v>
      </c>
      <c r="F228" s="1">
        <v>225205</v>
      </c>
      <c r="G228" s="1" t="s">
        <v>15</v>
      </c>
      <c r="H228" s="1">
        <f>Table1[[#This Row],[Export_Value_USD]]-Table1[[#This Row],[Export_Cost_USD]]</f>
        <v>83735</v>
      </c>
      <c r="I228" s="1">
        <f>Table1[[#This Row],[Export_Value_USD]]/Table1[[#This Row],[Quantity_Tons]]</f>
        <v>570</v>
      </c>
      <c r="J228" s="1">
        <f>Table1[[#This Row],[Export_Cost_USD]]/Table1[[#This Row],[Quantity_Tons]]</f>
        <v>415.50738007380073</v>
      </c>
    </row>
    <row r="229" spans="1:10" x14ac:dyDescent="0.25">
      <c r="A229" s="1">
        <v>2022</v>
      </c>
      <c r="B229" s="1" t="s">
        <v>7</v>
      </c>
      <c r="C229" s="1" t="s">
        <v>14</v>
      </c>
      <c r="D229" s="1">
        <v>1176</v>
      </c>
      <c r="E229" s="1">
        <v>763224</v>
      </c>
      <c r="F229" s="1">
        <v>527767</v>
      </c>
      <c r="G229" s="1" t="s">
        <v>13</v>
      </c>
      <c r="H229" s="1">
        <f>Table1[[#This Row],[Export_Value_USD]]-Table1[[#This Row],[Export_Cost_USD]]</f>
        <v>235457</v>
      </c>
      <c r="I229" s="1">
        <f>Table1[[#This Row],[Export_Value_USD]]/Table1[[#This Row],[Quantity_Tons]]</f>
        <v>649</v>
      </c>
      <c r="J229" s="1">
        <f>Table1[[#This Row],[Export_Cost_USD]]/Table1[[#This Row],[Quantity_Tons]]</f>
        <v>448.78146258503403</v>
      </c>
    </row>
    <row r="230" spans="1:10" x14ac:dyDescent="0.25">
      <c r="A230" s="1">
        <v>2020</v>
      </c>
      <c r="B230" s="1" t="s">
        <v>17</v>
      </c>
      <c r="C230" s="1" t="s">
        <v>8</v>
      </c>
      <c r="D230" s="1">
        <v>1844</v>
      </c>
      <c r="E230" s="1">
        <v>1017888</v>
      </c>
      <c r="F230" s="1">
        <v>614515</v>
      </c>
      <c r="G230" s="1" t="s">
        <v>15</v>
      </c>
      <c r="H230" s="1">
        <f>Table1[[#This Row],[Export_Value_USD]]-Table1[[#This Row],[Export_Cost_USD]]</f>
        <v>403373</v>
      </c>
      <c r="I230" s="1">
        <f>Table1[[#This Row],[Export_Value_USD]]/Table1[[#This Row],[Quantity_Tons]]</f>
        <v>552</v>
      </c>
      <c r="J230" s="1">
        <f>Table1[[#This Row],[Export_Cost_USD]]/Table1[[#This Row],[Quantity_Tons]]</f>
        <v>333.25108459869847</v>
      </c>
    </row>
    <row r="231" spans="1:10" x14ac:dyDescent="0.25">
      <c r="A231" s="1">
        <v>2021</v>
      </c>
      <c r="B231" s="1" t="s">
        <v>17</v>
      </c>
      <c r="C231" s="1" t="s">
        <v>21</v>
      </c>
      <c r="D231" s="1">
        <v>1648</v>
      </c>
      <c r="E231" s="1">
        <v>670736</v>
      </c>
      <c r="F231" s="1">
        <v>457168</v>
      </c>
      <c r="G231" s="1" t="s">
        <v>15</v>
      </c>
      <c r="H231" s="1">
        <f>Table1[[#This Row],[Export_Value_USD]]-Table1[[#This Row],[Export_Cost_USD]]</f>
        <v>213568</v>
      </c>
      <c r="I231" s="1">
        <f>Table1[[#This Row],[Export_Value_USD]]/Table1[[#This Row],[Quantity_Tons]]</f>
        <v>407</v>
      </c>
      <c r="J231" s="1">
        <f>Table1[[#This Row],[Export_Cost_USD]]/Table1[[#This Row],[Quantity_Tons]]</f>
        <v>277.40776699029124</v>
      </c>
    </row>
    <row r="232" spans="1:10" x14ac:dyDescent="0.25">
      <c r="A232" s="1">
        <v>2019</v>
      </c>
      <c r="B232" s="1" t="s">
        <v>12</v>
      </c>
      <c r="C232" s="1" t="s">
        <v>20</v>
      </c>
      <c r="D232" s="1">
        <v>855</v>
      </c>
      <c r="E232" s="1">
        <v>377055</v>
      </c>
      <c r="F232" s="1">
        <v>289789</v>
      </c>
      <c r="G232" s="1" t="s">
        <v>9</v>
      </c>
      <c r="H232" s="1">
        <f>Table1[[#This Row],[Export_Value_USD]]-Table1[[#This Row],[Export_Cost_USD]]</f>
        <v>87266</v>
      </c>
      <c r="I232" s="1">
        <f>Table1[[#This Row],[Export_Value_USD]]/Table1[[#This Row],[Quantity_Tons]]</f>
        <v>441</v>
      </c>
      <c r="J232" s="1">
        <f>Table1[[#This Row],[Export_Cost_USD]]/Table1[[#This Row],[Quantity_Tons]]</f>
        <v>338.93450292397659</v>
      </c>
    </row>
    <row r="233" spans="1:10" x14ac:dyDescent="0.25">
      <c r="A233" s="1">
        <v>2019</v>
      </c>
      <c r="B233" s="1" t="s">
        <v>10</v>
      </c>
      <c r="C233" s="1" t="s">
        <v>23</v>
      </c>
      <c r="D233" s="1">
        <v>1899</v>
      </c>
      <c r="E233" s="1">
        <v>888732</v>
      </c>
      <c r="F233" s="1">
        <v>637472</v>
      </c>
      <c r="G233" s="1" t="s">
        <v>9</v>
      </c>
      <c r="H233" s="1">
        <f>Table1[[#This Row],[Export_Value_USD]]-Table1[[#This Row],[Export_Cost_USD]]</f>
        <v>251260</v>
      </c>
      <c r="I233" s="1">
        <f>Table1[[#This Row],[Export_Value_USD]]/Table1[[#This Row],[Quantity_Tons]]</f>
        <v>468</v>
      </c>
      <c r="J233" s="1">
        <f>Table1[[#This Row],[Export_Cost_USD]]/Table1[[#This Row],[Quantity_Tons]]</f>
        <v>335.6882569773565</v>
      </c>
    </row>
    <row r="234" spans="1:10" x14ac:dyDescent="0.25">
      <c r="A234" s="1">
        <v>2023</v>
      </c>
      <c r="B234" s="1" t="s">
        <v>10</v>
      </c>
      <c r="C234" s="1" t="s">
        <v>20</v>
      </c>
      <c r="D234" s="1">
        <v>1870</v>
      </c>
      <c r="E234" s="1">
        <v>1110780</v>
      </c>
      <c r="F234" s="1">
        <v>785907</v>
      </c>
      <c r="G234" s="1" t="s">
        <v>9</v>
      </c>
      <c r="H234" s="1">
        <f>Table1[[#This Row],[Export_Value_USD]]-Table1[[#This Row],[Export_Cost_USD]]</f>
        <v>324873</v>
      </c>
      <c r="I234" s="1">
        <f>Table1[[#This Row],[Export_Value_USD]]/Table1[[#This Row],[Quantity_Tons]]</f>
        <v>594</v>
      </c>
      <c r="J234" s="1">
        <f>Table1[[#This Row],[Export_Cost_USD]]/Table1[[#This Row],[Quantity_Tons]]</f>
        <v>420.27112299465239</v>
      </c>
    </row>
    <row r="235" spans="1:10" x14ac:dyDescent="0.25">
      <c r="A235" s="1">
        <v>2022</v>
      </c>
      <c r="B235" s="1" t="s">
        <v>17</v>
      </c>
      <c r="C235" s="1" t="s">
        <v>18</v>
      </c>
      <c r="D235" s="1">
        <v>904</v>
      </c>
      <c r="E235" s="1">
        <v>449288</v>
      </c>
      <c r="F235" s="1">
        <v>295533</v>
      </c>
      <c r="G235" s="1" t="s">
        <v>15</v>
      </c>
      <c r="H235" s="1">
        <f>Table1[[#This Row],[Export_Value_USD]]-Table1[[#This Row],[Export_Cost_USD]]</f>
        <v>153755</v>
      </c>
      <c r="I235" s="1">
        <f>Table1[[#This Row],[Export_Value_USD]]/Table1[[#This Row],[Quantity_Tons]]</f>
        <v>497</v>
      </c>
      <c r="J235" s="1">
        <f>Table1[[#This Row],[Export_Cost_USD]]/Table1[[#This Row],[Quantity_Tons]]</f>
        <v>326.9170353982301</v>
      </c>
    </row>
    <row r="236" spans="1:10" x14ac:dyDescent="0.25">
      <c r="A236" s="1">
        <v>2021</v>
      </c>
      <c r="B236" s="1" t="s">
        <v>22</v>
      </c>
      <c r="C236" s="1" t="s">
        <v>21</v>
      </c>
      <c r="D236" s="1">
        <v>291</v>
      </c>
      <c r="E236" s="1">
        <v>160632</v>
      </c>
      <c r="F236" s="1">
        <v>102624</v>
      </c>
      <c r="G236" s="1" t="s">
        <v>15</v>
      </c>
      <c r="H236" s="1">
        <f>Table1[[#This Row],[Export_Value_USD]]-Table1[[#This Row],[Export_Cost_USD]]</f>
        <v>58008</v>
      </c>
      <c r="I236" s="1">
        <f>Table1[[#This Row],[Export_Value_USD]]/Table1[[#This Row],[Quantity_Tons]]</f>
        <v>552</v>
      </c>
      <c r="J236" s="1">
        <f>Table1[[#This Row],[Export_Cost_USD]]/Table1[[#This Row],[Quantity_Tons]]</f>
        <v>352.65979381443299</v>
      </c>
    </row>
    <row r="237" spans="1:10" x14ac:dyDescent="0.25">
      <c r="A237" s="1">
        <v>2019</v>
      </c>
      <c r="B237" s="1" t="s">
        <v>10</v>
      </c>
      <c r="C237" s="1" t="s">
        <v>18</v>
      </c>
      <c r="D237" s="1">
        <v>800</v>
      </c>
      <c r="E237" s="1">
        <v>510400</v>
      </c>
      <c r="F237" s="1">
        <v>332022</v>
      </c>
      <c r="G237" s="1" t="s">
        <v>9</v>
      </c>
      <c r="H237" s="1">
        <f>Table1[[#This Row],[Export_Value_USD]]-Table1[[#This Row],[Export_Cost_USD]]</f>
        <v>178378</v>
      </c>
      <c r="I237" s="1">
        <f>Table1[[#This Row],[Export_Value_USD]]/Table1[[#This Row],[Quantity_Tons]]</f>
        <v>638</v>
      </c>
      <c r="J237" s="1">
        <f>Table1[[#This Row],[Export_Cost_USD]]/Table1[[#This Row],[Quantity_Tons]]</f>
        <v>415.02749999999997</v>
      </c>
    </row>
    <row r="238" spans="1:10" x14ac:dyDescent="0.25">
      <c r="A238" s="1">
        <v>2018</v>
      </c>
      <c r="B238" s="1" t="s">
        <v>10</v>
      </c>
      <c r="C238" s="1" t="s">
        <v>24</v>
      </c>
      <c r="D238" s="1">
        <v>1353</v>
      </c>
      <c r="E238" s="1">
        <v>669735</v>
      </c>
      <c r="F238" s="1">
        <v>411998</v>
      </c>
      <c r="G238" s="1" t="s">
        <v>13</v>
      </c>
      <c r="H238" s="1">
        <f>Table1[[#This Row],[Export_Value_USD]]-Table1[[#This Row],[Export_Cost_USD]]</f>
        <v>257737</v>
      </c>
      <c r="I238" s="1">
        <f>Table1[[#This Row],[Export_Value_USD]]/Table1[[#This Row],[Quantity_Tons]]</f>
        <v>495</v>
      </c>
      <c r="J238" s="1">
        <f>Table1[[#This Row],[Export_Cost_USD]]/Table1[[#This Row],[Quantity_Tons]]</f>
        <v>304.5070214338507</v>
      </c>
    </row>
    <row r="239" spans="1:10" x14ac:dyDescent="0.25">
      <c r="A239" s="1">
        <v>2023</v>
      </c>
      <c r="B239" s="1" t="s">
        <v>16</v>
      </c>
      <c r="C239" s="1" t="s">
        <v>24</v>
      </c>
      <c r="D239" s="1">
        <v>1076</v>
      </c>
      <c r="E239" s="1">
        <v>739212</v>
      </c>
      <c r="F239" s="1">
        <v>505018</v>
      </c>
      <c r="G239" s="1" t="s">
        <v>9</v>
      </c>
      <c r="H239" s="1">
        <f>Table1[[#This Row],[Export_Value_USD]]-Table1[[#This Row],[Export_Cost_USD]]</f>
        <v>234194</v>
      </c>
      <c r="I239" s="1">
        <f>Table1[[#This Row],[Export_Value_USD]]/Table1[[#This Row],[Quantity_Tons]]</f>
        <v>687</v>
      </c>
      <c r="J239" s="1">
        <f>Table1[[#This Row],[Export_Cost_USD]]/Table1[[#This Row],[Quantity_Tons]]</f>
        <v>469.34758364312268</v>
      </c>
    </row>
    <row r="240" spans="1:10" x14ac:dyDescent="0.25">
      <c r="A240" s="1">
        <v>2020</v>
      </c>
      <c r="B240" s="1" t="s">
        <v>22</v>
      </c>
      <c r="C240" s="1" t="s">
        <v>11</v>
      </c>
      <c r="D240" s="1">
        <v>863</v>
      </c>
      <c r="E240" s="1">
        <v>464294</v>
      </c>
      <c r="F240" s="1">
        <v>298638</v>
      </c>
      <c r="G240" s="1" t="s">
        <v>9</v>
      </c>
      <c r="H240" s="1">
        <f>Table1[[#This Row],[Export_Value_USD]]-Table1[[#This Row],[Export_Cost_USD]]</f>
        <v>165656</v>
      </c>
      <c r="I240" s="1">
        <f>Table1[[#This Row],[Export_Value_USD]]/Table1[[#This Row],[Quantity_Tons]]</f>
        <v>538</v>
      </c>
      <c r="J240" s="1">
        <f>Table1[[#This Row],[Export_Cost_USD]]/Table1[[#This Row],[Quantity_Tons]]</f>
        <v>346.04634994206259</v>
      </c>
    </row>
    <row r="241" spans="1:10" x14ac:dyDescent="0.25">
      <c r="A241" s="1">
        <v>2019</v>
      </c>
      <c r="B241" s="1" t="s">
        <v>22</v>
      </c>
      <c r="C241" s="1" t="s">
        <v>21</v>
      </c>
      <c r="D241" s="1">
        <v>774</v>
      </c>
      <c r="E241" s="1">
        <v>320436</v>
      </c>
      <c r="F241" s="1">
        <v>210242</v>
      </c>
      <c r="G241" s="1" t="s">
        <v>15</v>
      </c>
      <c r="H241" s="1">
        <f>Table1[[#This Row],[Export_Value_USD]]-Table1[[#This Row],[Export_Cost_USD]]</f>
        <v>110194</v>
      </c>
      <c r="I241" s="1">
        <f>Table1[[#This Row],[Export_Value_USD]]/Table1[[#This Row],[Quantity_Tons]]</f>
        <v>414</v>
      </c>
      <c r="J241" s="1">
        <f>Table1[[#This Row],[Export_Cost_USD]]/Table1[[#This Row],[Quantity_Tons]]</f>
        <v>271.63049095607238</v>
      </c>
    </row>
    <row r="242" spans="1:10" x14ac:dyDescent="0.25">
      <c r="A242" s="1">
        <v>2022</v>
      </c>
      <c r="B242" s="1" t="s">
        <v>7</v>
      </c>
      <c r="C242" s="1" t="s">
        <v>20</v>
      </c>
      <c r="D242" s="1">
        <v>1882</v>
      </c>
      <c r="E242" s="1">
        <v>1274114</v>
      </c>
      <c r="F242" s="1">
        <v>944358</v>
      </c>
      <c r="G242" s="1" t="s">
        <v>9</v>
      </c>
      <c r="H242" s="1">
        <f>Table1[[#This Row],[Export_Value_USD]]-Table1[[#This Row],[Export_Cost_USD]]</f>
        <v>329756</v>
      </c>
      <c r="I242" s="1">
        <f>Table1[[#This Row],[Export_Value_USD]]/Table1[[#This Row],[Quantity_Tons]]</f>
        <v>677</v>
      </c>
      <c r="J242" s="1">
        <f>Table1[[#This Row],[Export_Cost_USD]]/Table1[[#This Row],[Quantity_Tons]]</f>
        <v>501.78427205100957</v>
      </c>
    </row>
    <row r="243" spans="1:10" x14ac:dyDescent="0.25">
      <c r="A243" s="1">
        <v>2023</v>
      </c>
      <c r="B243" s="1" t="s">
        <v>17</v>
      </c>
      <c r="C243" s="1" t="s">
        <v>8</v>
      </c>
      <c r="D243" s="1">
        <v>393</v>
      </c>
      <c r="E243" s="1">
        <v>231477</v>
      </c>
      <c r="F243" s="1">
        <v>142937</v>
      </c>
      <c r="G243" s="1" t="s">
        <v>13</v>
      </c>
      <c r="H243" s="1">
        <f>Table1[[#This Row],[Export_Value_USD]]-Table1[[#This Row],[Export_Cost_USD]]</f>
        <v>88540</v>
      </c>
      <c r="I243" s="1">
        <f>Table1[[#This Row],[Export_Value_USD]]/Table1[[#This Row],[Quantity_Tons]]</f>
        <v>589</v>
      </c>
      <c r="J243" s="1">
        <f>Table1[[#This Row],[Export_Cost_USD]]/Table1[[#This Row],[Quantity_Tons]]</f>
        <v>363.70737913486005</v>
      </c>
    </row>
    <row r="244" spans="1:10" x14ac:dyDescent="0.25">
      <c r="A244" s="1">
        <v>2018</v>
      </c>
      <c r="B244" s="1" t="s">
        <v>7</v>
      </c>
      <c r="C244" s="1" t="s">
        <v>14</v>
      </c>
      <c r="D244" s="1">
        <v>1207</v>
      </c>
      <c r="E244" s="1">
        <v>522631</v>
      </c>
      <c r="F244" s="1">
        <v>360212</v>
      </c>
      <c r="G244" s="1" t="s">
        <v>15</v>
      </c>
      <c r="H244" s="1">
        <f>Table1[[#This Row],[Export_Value_USD]]-Table1[[#This Row],[Export_Cost_USD]]</f>
        <v>162419</v>
      </c>
      <c r="I244" s="1">
        <f>Table1[[#This Row],[Export_Value_USD]]/Table1[[#This Row],[Quantity_Tons]]</f>
        <v>433</v>
      </c>
      <c r="J244" s="1">
        <f>Table1[[#This Row],[Export_Cost_USD]]/Table1[[#This Row],[Quantity_Tons]]</f>
        <v>298.4357912178956</v>
      </c>
    </row>
    <row r="245" spans="1:10" x14ac:dyDescent="0.25">
      <c r="A245" s="1">
        <v>2021</v>
      </c>
      <c r="B245" s="1" t="s">
        <v>17</v>
      </c>
      <c r="C245" s="1" t="s">
        <v>23</v>
      </c>
      <c r="D245" s="1">
        <v>807</v>
      </c>
      <c r="E245" s="1">
        <v>382518</v>
      </c>
      <c r="F245" s="1">
        <v>266451</v>
      </c>
      <c r="G245" s="1" t="s">
        <v>15</v>
      </c>
      <c r="H245" s="1">
        <f>Table1[[#This Row],[Export_Value_USD]]-Table1[[#This Row],[Export_Cost_USD]]</f>
        <v>116067</v>
      </c>
      <c r="I245" s="1">
        <f>Table1[[#This Row],[Export_Value_USD]]/Table1[[#This Row],[Quantity_Tons]]</f>
        <v>474</v>
      </c>
      <c r="J245" s="1">
        <f>Table1[[#This Row],[Export_Cost_USD]]/Table1[[#This Row],[Quantity_Tons]]</f>
        <v>330.17472118959108</v>
      </c>
    </row>
    <row r="246" spans="1:10" x14ac:dyDescent="0.25">
      <c r="A246" s="1">
        <v>2023</v>
      </c>
      <c r="B246" s="1" t="s">
        <v>7</v>
      </c>
      <c r="C246" s="1" t="s">
        <v>21</v>
      </c>
      <c r="D246" s="1">
        <v>295</v>
      </c>
      <c r="E246" s="1">
        <v>155465</v>
      </c>
      <c r="F246" s="1">
        <v>96753</v>
      </c>
      <c r="G246" s="1" t="s">
        <v>13</v>
      </c>
      <c r="H246" s="1">
        <f>Table1[[#This Row],[Export_Value_USD]]-Table1[[#This Row],[Export_Cost_USD]]</f>
        <v>58712</v>
      </c>
      <c r="I246" s="1">
        <f>Table1[[#This Row],[Export_Value_USD]]/Table1[[#This Row],[Quantity_Tons]]</f>
        <v>527</v>
      </c>
      <c r="J246" s="1">
        <f>Table1[[#This Row],[Export_Cost_USD]]/Table1[[#This Row],[Quantity_Tons]]</f>
        <v>327.97627118644067</v>
      </c>
    </row>
    <row r="247" spans="1:10" x14ac:dyDescent="0.25">
      <c r="A247" s="1">
        <v>2018</v>
      </c>
      <c r="B247" s="1" t="s">
        <v>12</v>
      </c>
      <c r="C247" s="1" t="s">
        <v>14</v>
      </c>
      <c r="D247" s="1">
        <v>1298</v>
      </c>
      <c r="E247" s="1">
        <v>806058</v>
      </c>
      <c r="F247" s="1">
        <v>581004</v>
      </c>
      <c r="G247" s="1" t="s">
        <v>15</v>
      </c>
      <c r="H247" s="1">
        <f>Table1[[#This Row],[Export_Value_USD]]-Table1[[#This Row],[Export_Cost_USD]]</f>
        <v>225054</v>
      </c>
      <c r="I247" s="1">
        <f>Table1[[#This Row],[Export_Value_USD]]/Table1[[#This Row],[Quantity_Tons]]</f>
        <v>621</v>
      </c>
      <c r="J247" s="1">
        <f>Table1[[#This Row],[Export_Cost_USD]]/Table1[[#This Row],[Quantity_Tons]]</f>
        <v>447.61479198767336</v>
      </c>
    </row>
    <row r="248" spans="1:10" x14ac:dyDescent="0.25">
      <c r="A248" s="1">
        <v>2021</v>
      </c>
      <c r="B248" s="1" t="s">
        <v>17</v>
      </c>
      <c r="C248" s="1" t="s">
        <v>18</v>
      </c>
      <c r="D248" s="1">
        <v>1431</v>
      </c>
      <c r="E248" s="1">
        <v>716931</v>
      </c>
      <c r="F248" s="1">
        <v>520885</v>
      </c>
      <c r="G248" s="1" t="s">
        <v>15</v>
      </c>
      <c r="H248" s="1">
        <f>Table1[[#This Row],[Export_Value_USD]]-Table1[[#This Row],[Export_Cost_USD]]</f>
        <v>196046</v>
      </c>
      <c r="I248" s="1">
        <f>Table1[[#This Row],[Export_Value_USD]]/Table1[[#This Row],[Quantity_Tons]]</f>
        <v>501</v>
      </c>
      <c r="J248" s="1">
        <f>Table1[[#This Row],[Export_Cost_USD]]/Table1[[#This Row],[Quantity_Tons]]</f>
        <v>364.00069881201955</v>
      </c>
    </row>
    <row r="249" spans="1:10" x14ac:dyDescent="0.25">
      <c r="A249" s="1">
        <v>2023</v>
      </c>
      <c r="B249" s="1" t="s">
        <v>17</v>
      </c>
      <c r="C249" s="1" t="s">
        <v>24</v>
      </c>
      <c r="D249" s="1">
        <v>1097</v>
      </c>
      <c r="E249" s="1">
        <v>564955</v>
      </c>
      <c r="F249" s="1">
        <v>341774</v>
      </c>
      <c r="G249" s="1" t="s">
        <v>13</v>
      </c>
      <c r="H249" s="1">
        <f>Table1[[#This Row],[Export_Value_USD]]-Table1[[#This Row],[Export_Cost_USD]]</f>
        <v>223181</v>
      </c>
      <c r="I249" s="1">
        <f>Table1[[#This Row],[Export_Value_USD]]/Table1[[#This Row],[Quantity_Tons]]</f>
        <v>515</v>
      </c>
      <c r="J249" s="1">
        <f>Table1[[#This Row],[Export_Cost_USD]]/Table1[[#This Row],[Quantity_Tons]]</f>
        <v>311.55332725615312</v>
      </c>
    </row>
    <row r="250" spans="1:10" x14ac:dyDescent="0.25">
      <c r="A250" s="1">
        <v>2019</v>
      </c>
      <c r="B250" s="1" t="s">
        <v>12</v>
      </c>
      <c r="C250" s="1" t="s">
        <v>18</v>
      </c>
      <c r="D250" s="1">
        <v>1412</v>
      </c>
      <c r="E250" s="1">
        <v>864144</v>
      </c>
      <c r="F250" s="1">
        <v>631187</v>
      </c>
      <c r="G250" s="1" t="s">
        <v>15</v>
      </c>
      <c r="H250" s="1">
        <f>Table1[[#This Row],[Export_Value_USD]]-Table1[[#This Row],[Export_Cost_USD]]</f>
        <v>232957</v>
      </c>
      <c r="I250" s="1">
        <f>Table1[[#This Row],[Export_Value_USD]]/Table1[[#This Row],[Quantity_Tons]]</f>
        <v>612</v>
      </c>
      <c r="J250" s="1">
        <f>Table1[[#This Row],[Export_Cost_USD]]/Table1[[#This Row],[Quantity_Tons]]</f>
        <v>447.01628895184137</v>
      </c>
    </row>
    <row r="251" spans="1:10" x14ac:dyDescent="0.25">
      <c r="A251" s="1">
        <v>2018</v>
      </c>
      <c r="B251" s="1" t="s">
        <v>22</v>
      </c>
      <c r="C251" s="1" t="s">
        <v>21</v>
      </c>
      <c r="D251" s="1">
        <v>732</v>
      </c>
      <c r="E251" s="1">
        <v>488244</v>
      </c>
      <c r="F251" s="1">
        <v>366599</v>
      </c>
      <c r="G251" s="1" t="s">
        <v>15</v>
      </c>
      <c r="H251" s="1">
        <f>Table1[[#This Row],[Export_Value_USD]]-Table1[[#This Row],[Export_Cost_USD]]</f>
        <v>121645</v>
      </c>
      <c r="I251" s="1">
        <f>Table1[[#This Row],[Export_Value_USD]]/Table1[[#This Row],[Quantity_Tons]]</f>
        <v>667</v>
      </c>
      <c r="J251" s="1">
        <f>Table1[[#This Row],[Export_Cost_USD]]/Table1[[#This Row],[Quantity_Tons]]</f>
        <v>500.81830601092895</v>
      </c>
    </row>
    <row r="252" spans="1:10" x14ac:dyDescent="0.25">
      <c r="A252" s="1">
        <v>2018</v>
      </c>
      <c r="B252" s="1" t="s">
        <v>10</v>
      </c>
      <c r="C252" s="1" t="s">
        <v>21</v>
      </c>
      <c r="D252" s="1">
        <v>651</v>
      </c>
      <c r="E252" s="1">
        <v>322896</v>
      </c>
      <c r="F252" s="1">
        <v>253848</v>
      </c>
      <c r="G252" s="1" t="s">
        <v>13</v>
      </c>
      <c r="H252" s="1">
        <f>Table1[[#This Row],[Export_Value_USD]]-Table1[[#This Row],[Export_Cost_USD]]</f>
        <v>69048</v>
      </c>
      <c r="I252" s="1">
        <f>Table1[[#This Row],[Export_Value_USD]]/Table1[[#This Row],[Quantity_Tons]]</f>
        <v>496</v>
      </c>
      <c r="J252" s="1">
        <f>Table1[[#This Row],[Export_Cost_USD]]/Table1[[#This Row],[Quantity_Tons]]</f>
        <v>389.93548387096774</v>
      </c>
    </row>
    <row r="253" spans="1:10" x14ac:dyDescent="0.25">
      <c r="A253" s="1">
        <v>2021</v>
      </c>
      <c r="B253" s="1" t="s">
        <v>12</v>
      </c>
      <c r="C253" s="1" t="s">
        <v>8</v>
      </c>
      <c r="D253" s="1">
        <v>226</v>
      </c>
      <c r="E253" s="1">
        <v>129272</v>
      </c>
      <c r="F253" s="1">
        <v>90877</v>
      </c>
      <c r="G253" s="1" t="s">
        <v>15</v>
      </c>
      <c r="H253" s="1">
        <f>Table1[[#This Row],[Export_Value_USD]]-Table1[[#This Row],[Export_Cost_USD]]</f>
        <v>38395</v>
      </c>
      <c r="I253" s="1">
        <f>Table1[[#This Row],[Export_Value_USD]]/Table1[[#This Row],[Quantity_Tons]]</f>
        <v>572</v>
      </c>
      <c r="J253" s="1">
        <f>Table1[[#This Row],[Export_Cost_USD]]/Table1[[#This Row],[Quantity_Tons]]</f>
        <v>402.11061946902657</v>
      </c>
    </row>
    <row r="254" spans="1:10" x14ac:dyDescent="0.25">
      <c r="A254" s="1">
        <v>2020</v>
      </c>
      <c r="B254" s="1" t="s">
        <v>16</v>
      </c>
      <c r="C254" s="1" t="s">
        <v>8</v>
      </c>
      <c r="D254" s="1">
        <v>565</v>
      </c>
      <c r="E254" s="1">
        <v>314705</v>
      </c>
      <c r="F254" s="1">
        <v>248577</v>
      </c>
      <c r="G254" s="1" t="s">
        <v>13</v>
      </c>
      <c r="H254" s="1">
        <f>Table1[[#This Row],[Export_Value_USD]]-Table1[[#This Row],[Export_Cost_USD]]</f>
        <v>66128</v>
      </c>
      <c r="I254" s="1">
        <f>Table1[[#This Row],[Export_Value_USD]]/Table1[[#This Row],[Quantity_Tons]]</f>
        <v>557</v>
      </c>
      <c r="J254" s="1">
        <f>Table1[[#This Row],[Export_Cost_USD]]/Table1[[#This Row],[Quantity_Tons]]</f>
        <v>439.95929203539822</v>
      </c>
    </row>
    <row r="255" spans="1:10" x14ac:dyDescent="0.25">
      <c r="A255" s="1">
        <v>2020</v>
      </c>
      <c r="B255" s="1" t="s">
        <v>10</v>
      </c>
      <c r="C255" s="1" t="s">
        <v>18</v>
      </c>
      <c r="D255" s="1">
        <v>1792</v>
      </c>
      <c r="E255" s="1">
        <v>1053696</v>
      </c>
      <c r="F255" s="1">
        <v>644833</v>
      </c>
      <c r="G255" s="1" t="s">
        <v>13</v>
      </c>
      <c r="H255" s="1">
        <f>Table1[[#This Row],[Export_Value_USD]]-Table1[[#This Row],[Export_Cost_USD]]</f>
        <v>408863</v>
      </c>
      <c r="I255" s="1">
        <f>Table1[[#This Row],[Export_Value_USD]]/Table1[[#This Row],[Quantity_Tons]]</f>
        <v>588</v>
      </c>
      <c r="J255" s="1">
        <f>Table1[[#This Row],[Export_Cost_USD]]/Table1[[#This Row],[Quantity_Tons]]</f>
        <v>359.83984375</v>
      </c>
    </row>
    <row r="256" spans="1:10" x14ac:dyDescent="0.25">
      <c r="A256" s="1">
        <v>2023</v>
      </c>
      <c r="B256" s="1" t="s">
        <v>7</v>
      </c>
      <c r="C256" s="1" t="s">
        <v>18</v>
      </c>
      <c r="D256" s="1">
        <v>1575</v>
      </c>
      <c r="E256" s="1">
        <v>787500</v>
      </c>
      <c r="F256" s="1">
        <v>490621</v>
      </c>
      <c r="G256" s="1" t="s">
        <v>15</v>
      </c>
      <c r="H256" s="1">
        <f>Table1[[#This Row],[Export_Value_USD]]-Table1[[#This Row],[Export_Cost_USD]]</f>
        <v>296879</v>
      </c>
      <c r="I256" s="1">
        <f>Table1[[#This Row],[Export_Value_USD]]/Table1[[#This Row],[Quantity_Tons]]</f>
        <v>500</v>
      </c>
      <c r="J256" s="1">
        <f>Table1[[#This Row],[Export_Cost_USD]]/Table1[[#This Row],[Quantity_Tons]]</f>
        <v>311.50539682539682</v>
      </c>
    </row>
    <row r="257" spans="1:10" x14ac:dyDescent="0.25">
      <c r="A257" s="1">
        <v>2021</v>
      </c>
      <c r="B257" s="1" t="s">
        <v>16</v>
      </c>
      <c r="C257" s="1" t="s">
        <v>20</v>
      </c>
      <c r="D257" s="1">
        <v>1909</v>
      </c>
      <c r="E257" s="1">
        <v>790326</v>
      </c>
      <c r="F257" s="1">
        <v>519511</v>
      </c>
      <c r="G257" s="1" t="s">
        <v>15</v>
      </c>
      <c r="H257" s="1">
        <f>Table1[[#This Row],[Export_Value_USD]]-Table1[[#This Row],[Export_Cost_USD]]</f>
        <v>270815</v>
      </c>
      <c r="I257" s="1">
        <f>Table1[[#This Row],[Export_Value_USD]]/Table1[[#This Row],[Quantity_Tons]]</f>
        <v>414</v>
      </c>
      <c r="J257" s="1">
        <f>Table1[[#This Row],[Export_Cost_USD]]/Table1[[#This Row],[Quantity_Tons]]</f>
        <v>272.13776846516498</v>
      </c>
    </row>
    <row r="258" spans="1:10" x14ac:dyDescent="0.25">
      <c r="A258" s="1">
        <v>2021</v>
      </c>
      <c r="B258" s="1" t="s">
        <v>22</v>
      </c>
      <c r="C258" s="1" t="s">
        <v>11</v>
      </c>
      <c r="D258" s="1">
        <v>669</v>
      </c>
      <c r="E258" s="1">
        <v>361929</v>
      </c>
      <c r="F258" s="1">
        <v>262523</v>
      </c>
      <c r="G258" s="1" t="s">
        <v>13</v>
      </c>
      <c r="H258" s="1">
        <f>Table1[[#This Row],[Export_Value_USD]]-Table1[[#This Row],[Export_Cost_USD]]</f>
        <v>99406</v>
      </c>
      <c r="I258" s="1">
        <f>Table1[[#This Row],[Export_Value_USD]]/Table1[[#This Row],[Quantity_Tons]]</f>
        <v>541</v>
      </c>
      <c r="J258" s="1">
        <f>Table1[[#This Row],[Export_Cost_USD]]/Table1[[#This Row],[Quantity_Tons]]</f>
        <v>392.41106128550075</v>
      </c>
    </row>
    <row r="259" spans="1:10" x14ac:dyDescent="0.25">
      <c r="A259" s="1">
        <v>2023</v>
      </c>
      <c r="B259" s="1" t="s">
        <v>16</v>
      </c>
      <c r="C259" s="1" t="s">
        <v>19</v>
      </c>
      <c r="D259" s="1">
        <v>1747</v>
      </c>
      <c r="E259" s="1">
        <v>756451</v>
      </c>
      <c r="F259" s="1">
        <v>541178</v>
      </c>
      <c r="G259" s="1" t="s">
        <v>9</v>
      </c>
      <c r="H259" s="1">
        <f>Table1[[#This Row],[Export_Value_USD]]-Table1[[#This Row],[Export_Cost_USD]]</f>
        <v>215273</v>
      </c>
      <c r="I259" s="1">
        <f>Table1[[#This Row],[Export_Value_USD]]/Table1[[#This Row],[Quantity_Tons]]</f>
        <v>433</v>
      </c>
      <c r="J259" s="1">
        <f>Table1[[#This Row],[Export_Cost_USD]]/Table1[[#This Row],[Quantity_Tons]]</f>
        <v>309.77561534058384</v>
      </c>
    </row>
    <row r="260" spans="1:10" x14ac:dyDescent="0.25">
      <c r="A260" s="1">
        <v>2018</v>
      </c>
      <c r="B260" s="1" t="s">
        <v>10</v>
      </c>
      <c r="C260" s="1" t="s">
        <v>23</v>
      </c>
      <c r="D260" s="1">
        <v>673</v>
      </c>
      <c r="E260" s="1">
        <v>362074</v>
      </c>
      <c r="F260" s="1">
        <v>248914</v>
      </c>
      <c r="G260" s="1" t="s">
        <v>13</v>
      </c>
      <c r="H260" s="1">
        <f>Table1[[#This Row],[Export_Value_USD]]-Table1[[#This Row],[Export_Cost_USD]]</f>
        <v>113160</v>
      </c>
      <c r="I260" s="1">
        <f>Table1[[#This Row],[Export_Value_USD]]/Table1[[#This Row],[Quantity_Tons]]</f>
        <v>538</v>
      </c>
      <c r="J260" s="1">
        <f>Table1[[#This Row],[Export_Cost_USD]]/Table1[[#This Row],[Quantity_Tons]]</f>
        <v>369.85735512630015</v>
      </c>
    </row>
    <row r="261" spans="1:10" x14ac:dyDescent="0.25">
      <c r="A261" s="1">
        <v>2023</v>
      </c>
      <c r="B261" s="1" t="s">
        <v>17</v>
      </c>
      <c r="C261" s="1" t="s">
        <v>23</v>
      </c>
      <c r="D261" s="1">
        <v>1624</v>
      </c>
      <c r="E261" s="1">
        <v>1066968</v>
      </c>
      <c r="F261" s="1">
        <v>805224</v>
      </c>
      <c r="G261" s="1" t="s">
        <v>15</v>
      </c>
      <c r="H261" s="1">
        <f>Table1[[#This Row],[Export_Value_USD]]-Table1[[#This Row],[Export_Cost_USD]]</f>
        <v>261744</v>
      </c>
      <c r="I261" s="1">
        <f>Table1[[#This Row],[Export_Value_USD]]/Table1[[#This Row],[Quantity_Tons]]</f>
        <v>657</v>
      </c>
      <c r="J261" s="1">
        <f>Table1[[#This Row],[Export_Cost_USD]]/Table1[[#This Row],[Quantity_Tons]]</f>
        <v>495.82758620689657</v>
      </c>
    </row>
    <row r="262" spans="1:10" x14ac:dyDescent="0.25">
      <c r="A262" s="1">
        <v>2019</v>
      </c>
      <c r="B262" s="1" t="s">
        <v>12</v>
      </c>
      <c r="C262" s="1" t="s">
        <v>18</v>
      </c>
      <c r="D262" s="1">
        <v>822</v>
      </c>
      <c r="E262" s="1">
        <v>552384</v>
      </c>
      <c r="F262" s="1">
        <v>424183</v>
      </c>
      <c r="G262" s="1" t="s">
        <v>9</v>
      </c>
      <c r="H262" s="1">
        <f>Table1[[#This Row],[Export_Value_USD]]-Table1[[#This Row],[Export_Cost_USD]]</f>
        <v>128201</v>
      </c>
      <c r="I262" s="1">
        <f>Table1[[#This Row],[Export_Value_USD]]/Table1[[#This Row],[Quantity_Tons]]</f>
        <v>672</v>
      </c>
      <c r="J262" s="1">
        <f>Table1[[#This Row],[Export_Cost_USD]]/Table1[[#This Row],[Quantity_Tons]]</f>
        <v>516.03771289537713</v>
      </c>
    </row>
    <row r="263" spans="1:10" x14ac:dyDescent="0.25">
      <c r="A263" s="1">
        <v>2022</v>
      </c>
      <c r="B263" s="1" t="s">
        <v>16</v>
      </c>
      <c r="C263" s="1" t="s">
        <v>20</v>
      </c>
      <c r="D263" s="1">
        <v>560</v>
      </c>
      <c r="E263" s="1">
        <v>390320</v>
      </c>
      <c r="F263" s="1">
        <v>300599</v>
      </c>
      <c r="G263" s="1" t="s">
        <v>9</v>
      </c>
      <c r="H263" s="1">
        <f>Table1[[#This Row],[Export_Value_USD]]-Table1[[#This Row],[Export_Cost_USD]]</f>
        <v>89721</v>
      </c>
      <c r="I263" s="1">
        <f>Table1[[#This Row],[Export_Value_USD]]/Table1[[#This Row],[Quantity_Tons]]</f>
        <v>697</v>
      </c>
      <c r="J263" s="1">
        <f>Table1[[#This Row],[Export_Cost_USD]]/Table1[[#This Row],[Quantity_Tons]]</f>
        <v>536.78392857142853</v>
      </c>
    </row>
    <row r="264" spans="1:10" x14ac:dyDescent="0.25">
      <c r="A264" s="1">
        <v>2022</v>
      </c>
      <c r="B264" s="1" t="s">
        <v>12</v>
      </c>
      <c r="C264" s="1" t="s">
        <v>20</v>
      </c>
      <c r="D264" s="1">
        <v>818</v>
      </c>
      <c r="E264" s="1">
        <v>495708</v>
      </c>
      <c r="F264" s="1">
        <v>340197</v>
      </c>
      <c r="G264" s="1" t="s">
        <v>9</v>
      </c>
      <c r="H264" s="1">
        <f>Table1[[#This Row],[Export_Value_USD]]-Table1[[#This Row],[Export_Cost_USD]]</f>
        <v>155511</v>
      </c>
      <c r="I264" s="1">
        <f>Table1[[#This Row],[Export_Value_USD]]/Table1[[#This Row],[Quantity_Tons]]</f>
        <v>606</v>
      </c>
      <c r="J264" s="1">
        <f>Table1[[#This Row],[Export_Cost_USD]]/Table1[[#This Row],[Quantity_Tons]]</f>
        <v>415.88875305623469</v>
      </c>
    </row>
    <row r="265" spans="1:10" x14ac:dyDescent="0.25">
      <c r="A265" s="1">
        <v>2018</v>
      </c>
      <c r="B265" s="1" t="s">
        <v>10</v>
      </c>
      <c r="C265" s="1" t="s">
        <v>11</v>
      </c>
      <c r="D265" s="1">
        <v>1312</v>
      </c>
      <c r="E265" s="1">
        <v>657312</v>
      </c>
      <c r="F265" s="1">
        <v>401091</v>
      </c>
      <c r="G265" s="1" t="s">
        <v>13</v>
      </c>
      <c r="H265" s="1">
        <f>Table1[[#This Row],[Export_Value_USD]]-Table1[[#This Row],[Export_Cost_USD]]</f>
        <v>256221</v>
      </c>
      <c r="I265" s="1">
        <f>Table1[[#This Row],[Export_Value_USD]]/Table1[[#This Row],[Quantity_Tons]]</f>
        <v>501</v>
      </c>
      <c r="J265" s="1">
        <f>Table1[[#This Row],[Export_Cost_USD]]/Table1[[#This Row],[Quantity_Tons]]</f>
        <v>305.70960365853659</v>
      </c>
    </row>
    <row r="266" spans="1:10" x14ac:dyDescent="0.25">
      <c r="A266" s="1">
        <v>2019</v>
      </c>
      <c r="B266" s="1" t="s">
        <v>17</v>
      </c>
      <c r="C266" s="1" t="s">
        <v>21</v>
      </c>
      <c r="D266" s="1">
        <v>1829</v>
      </c>
      <c r="E266" s="1">
        <v>859630</v>
      </c>
      <c r="F266" s="1">
        <v>640093</v>
      </c>
      <c r="G266" s="1" t="s">
        <v>13</v>
      </c>
      <c r="H266" s="1">
        <f>Table1[[#This Row],[Export_Value_USD]]-Table1[[#This Row],[Export_Cost_USD]]</f>
        <v>219537</v>
      </c>
      <c r="I266" s="1">
        <f>Table1[[#This Row],[Export_Value_USD]]/Table1[[#This Row],[Quantity_Tons]]</f>
        <v>470</v>
      </c>
      <c r="J266" s="1">
        <f>Table1[[#This Row],[Export_Cost_USD]]/Table1[[#This Row],[Quantity_Tons]]</f>
        <v>349.9688354291963</v>
      </c>
    </row>
    <row r="267" spans="1:10" x14ac:dyDescent="0.25">
      <c r="A267" s="1">
        <v>2022</v>
      </c>
      <c r="B267" s="1" t="s">
        <v>7</v>
      </c>
      <c r="C267" s="1" t="s">
        <v>20</v>
      </c>
      <c r="D267" s="1">
        <v>228</v>
      </c>
      <c r="E267" s="1">
        <v>135204</v>
      </c>
      <c r="F267" s="1">
        <v>99808</v>
      </c>
      <c r="G267" s="1" t="s">
        <v>13</v>
      </c>
      <c r="H267" s="1">
        <f>Table1[[#This Row],[Export_Value_USD]]-Table1[[#This Row],[Export_Cost_USD]]</f>
        <v>35396</v>
      </c>
      <c r="I267" s="1">
        <f>Table1[[#This Row],[Export_Value_USD]]/Table1[[#This Row],[Quantity_Tons]]</f>
        <v>593</v>
      </c>
      <c r="J267" s="1">
        <f>Table1[[#This Row],[Export_Cost_USD]]/Table1[[#This Row],[Quantity_Tons]]</f>
        <v>437.75438596491227</v>
      </c>
    </row>
    <row r="268" spans="1:10" x14ac:dyDescent="0.25">
      <c r="A268" s="1">
        <v>2022</v>
      </c>
      <c r="B268" s="1" t="s">
        <v>16</v>
      </c>
      <c r="C268" s="1" t="s">
        <v>21</v>
      </c>
      <c r="D268" s="1">
        <v>552</v>
      </c>
      <c r="E268" s="1">
        <v>311880</v>
      </c>
      <c r="F268" s="1">
        <v>247706</v>
      </c>
      <c r="G268" s="1" t="s">
        <v>9</v>
      </c>
      <c r="H268" s="1">
        <f>Table1[[#This Row],[Export_Value_USD]]-Table1[[#This Row],[Export_Cost_USD]]</f>
        <v>64174</v>
      </c>
      <c r="I268" s="1">
        <f>Table1[[#This Row],[Export_Value_USD]]/Table1[[#This Row],[Quantity_Tons]]</f>
        <v>565</v>
      </c>
      <c r="J268" s="1">
        <f>Table1[[#This Row],[Export_Cost_USD]]/Table1[[#This Row],[Quantity_Tons]]</f>
        <v>448.74275362318838</v>
      </c>
    </row>
    <row r="269" spans="1:10" x14ac:dyDescent="0.25">
      <c r="A269" s="1">
        <v>2023</v>
      </c>
      <c r="B269" s="1" t="s">
        <v>16</v>
      </c>
      <c r="C269" s="1" t="s">
        <v>20</v>
      </c>
      <c r="D269" s="1">
        <v>1394</v>
      </c>
      <c r="E269" s="1">
        <v>949314</v>
      </c>
      <c r="F269" s="1">
        <v>650045</v>
      </c>
      <c r="G269" s="1" t="s">
        <v>13</v>
      </c>
      <c r="H269" s="1">
        <f>Table1[[#This Row],[Export_Value_USD]]-Table1[[#This Row],[Export_Cost_USD]]</f>
        <v>299269</v>
      </c>
      <c r="I269" s="1">
        <f>Table1[[#This Row],[Export_Value_USD]]/Table1[[#This Row],[Quantity_Tons]]</f>
        <v>681</v>
      </c>
      <c r="J269" s="1">
        <f>Table1[[#This Row],[Export_Cost_USD]]/Table1[[#This Row],[Quantity_Tons]]</f>
        <v>466.31635581061693</v>
      </c>
    </row>
    <row r="270" spans="1:10" x14ac:dyDescent="0.25">
      <c r="A270" s="1">
        <v>2019</v>
      </c>
      <c r="B270" s="1" t="s">
        <v>10</v>
      </c>
      <c r="C270" s="1" t="s">
        <v>18</v>
      </c>
      <c r="D270" s="1">
        <v>1242</v>
      </c>
      <c r="E270" s="1">
        <v>539028</v>
      </c>
      <c r="F270" s="1">
        <v>409737</v>
      </c>
      <c r="G270" s="1" t="s">
        <v>9</v>
      </c>
      <c r="H270" s="1">
        <f>Table1[[#This Row],[Export_Value_USD]]-Table1[[#This Row],[Export_Cost_USD]]</f>
        <v>129291</v>
      </c>
      <c r="I270" s="1">
        <f>Table1[[#This Row],[Export_Value_USD]]/Table1[[#This Row],[Quantity_Tons]]</f>
        <v>434</v>
      </c>
      <c r="J270" s="1">
        <f>Table1[[#This Row],[Export_Cost_USD]]/Table1[[#This Row],[Quantity_Tons]]</f>
        <v>329.90096618357489</v>
      </c>
    </row>
    <row r="271" spans="1:10" x14ac:dyDescent="0.25">
      <c r="A271" s="1">
        <v>2023</v>
      </c>
      <c r="B271" s="1" t="s">
        <v>16</v>
      </c>
      <c r="C271" s="1" t="s">
        <v>18</v>
      </c>
      <c r="D271" s="1">
        <v>1793</v>
      </c>
      <c r="E271" s="1">
        <v>952083</v>
      </c>
      <c r="F271" s="1">
        <v>655919</v>
      </c>
      <c r="G271" s="1" t="s">
        <v>15</v>
      </c>
      <c r="H271" s="1">
        <f>Table1[[#This Row],[Export_Value_USD]]-Table1[[#This Row],[Export_Cost_USD]]</f>
        <v>296164</v>
      </c>
      <c r="I271" s="1">
        <f>Table1[[#This Row],[Export_Value_USD]]/Table1[[#This Row],[Quantity_Tons]]</f>
        <v>531</v>
      </c>
      <c r="J271" s="1">
        <f>Table1[[#This Row],[Export_Cost_USD]]/Table1[[#This Row],[Quantity_Tons]]</f>
        <v>365.82208588957053</v>
      </c>
    </row>
    <row r="272" spans="1:10" x14ac:dyDescent="0.25">
      <c r="A272" s="1">
        <v>2023</v>
      </c>
      <c r="B272" s="1" t="s">
        <v>12</v>
      </c>
      <c r="C272" s="1" t="s">
        <v>24</v>
      </c>
      <c r="D272" s="1">
        <v>1922</v>
      </c>
      <c r="E272" s="1">
        <v>837992</v>
      </c>
      <c r="F272" s="1">
        <v>661194</v>
      </c>
      <c r="G272" s="1" t="s">
        <v>9</v>
      </c>
      <c r="H272" s="1">
        <f>Table1[[#This Row],[Export_Value_USD]]-Table1[[#This Row],[Export_Cost_USD]]</f>
        <v>176798</v>
      </c>
      <c r="I272" s="1">
        <f>Table1[[#This Row],[Export_Value_USD]]/Table1[[#This Row],[Quantity_Tons]]</f>
        <v>436</v>
      </c>
      <c r="J272" s="1">
        <f>Table1[[#This Row],[Export_Cost_USD]]/Table1[[#This Row],[Quantity_Tons]]</f>
        <v>344.01352757544225</v>
      </c>
    </row>
    <row r="273" spans="1:10" x14ac:dyDescent="0.25">
      <c r="A273" s="1">
        <v>2020</v>
      </c>
      <c r="B273" s="1" t="s">
        <v>17</v>
      </c>
      <c r="C273" s="1" t="s">
        <v>23</v>
      </c>
      <c r="D273" s="1">
        <v>1725</v>
      </c>
      <c r="E273" s="1">
        <v>864225</v>
      </c>
      <c r="F273" s="1">
        <v>642316</v>
      </c>
      <c r="G273" s="1" t="s">
        <v>13</v>
      </c>
      <c r="H273" s="1">
        <f>Table1[[#This Row],[Export_Value_USD]]-Table1[[#This Row],[Export_Cost_USD]]</f>
        <v>221909</v>
      </c>
      <c r="I273" s="1">
        <f>Table1[[#This Row],[Export_Value_USD]]/Table1[[#This Row],[Quantity_Tons]]</f>
        <v>501</v>
      </c>
      <c r="J273" s="1">
        <f>Table1[[#This Row],[Export_Cost_USD]]/Table1[[#This Row],[Quantity_Tons]]</f>
        <v>372.35710144927538</v>
      </c>
    </row>
    <row r="274" spans="1:10" x14ac:dyDescent="0.25">
      <c r="A274" s="1">
        <v>2021</v>
      </c>
      <c r="B274" s="1" t="s">
        <v>16</v>
      </c>
      <c r="C274" s="1" t="s">
        <v>14</v>
      </c>
      <c r="D274" s="1">
        <v>935</v>
      </c>
      <c r="E274" s="1">
        <v>411400</v>
      </c>
      <c r="F274" s="1">
        <v>267480</v>
      </c>
      <c r="G274" s="1" t="s">
        <v>9</v>
      </c>
      <c r="H274" s="1">
        <f>Table1[[#This Row],[Export_Value_USD]]-Table1[[#This Row],[Export_Cost_USD]]</f>
        <v>143920</v>
      </c>
      <c r="I274" s="1">
        <f>Table1[[#This Row],[Export_Value_USD]]/Table1[[#This Row],[Quantity_Tons]]</f>
        <v>440</v>
      </c>
      <c r="J274" s="1">
        <f>Table1[[#This Row],[Export_Cost_USD]]/Table1[[#This Row],[Quantity_Tons]]</f>
        <v>286.07486631016042</v>
      </c>
    </row>
    <row r="275" spans="1:10" x14ac:dyDescent="0.25">
      <c r="A275" s="1">
        <v>2018</v>
      </c>
      <c r="B275" s="1" t="s">
        <v>12</v>
      </c>
      <c r="C275" s="1" t="s">
        <v>8</v>
      </c>
      <c r="D275" s="1">
        <v>1512</v>
      </c>
      <c r="E275" s="1">
        <v>675864</v>
      </c>
      <c r="F275" s="1">
        <v>446137</v>
      </c>
      <c r="G275" s="1" t="s">
        <v>15</v>
      </c>
      <c r="H275" s="1">
        <f>Table1[[#This Row],[Export_Value_USD]]-Table1[[#This Row],[Export_Cost_USD]]</f>
        <v>229727</v>
      </c>
      <c r="I275" s="1">
        <f>Table1[[#This Row],[Export_Value_USD]]/Table1[[#This Row],[Quantity_Tons]]</f>
        <v>447</v>
      </c>
      <c r="J275" s="1">
        <f>Table1[[#This Row],[Export_Cost_USD]]/Table1[[#This Row],[Quantity_Tons]]</f>
        <v>295.06415343915342</v>
      </c>
    </row>
    <row r="276" spans="1:10" x14ac:dyDescent="0.25">
      <c r="A276" s="1">
        <v>2018</v>
      </c>
      <c r="B276" s="1" t="s">
        <v>22</v>
      </c>
      <c r="C276" s="1" t="s">
        <v>18</v>
      </c>
      <c r="D276" s="1">
        <v>1798</v>
      </c>
      <c r="E276" s="1">
        <v>963728</v>
      </c>
      <c r="F276" s="1">
        <v>736162</v>
      </c>
      <c r="G276" s="1" t="s">
        <v>9</v>
      </c>
      <c r="H276" s="1">
        <f>Table1[[#This Row],[Export_Value_USD]]-Table1[[#This Row],[Export_Cost_USD]]</f>
        <v>227566</v>
      </c>
      <c r="I276" s="1">
        <f>Table1[[#This Row],[Export_Value_USD]]/Table1[[#This Row],[Quantity_Tons]]</f>
        <v>536</v>
      </c>
      <c r="J276" s="1">
        <f>Table1[[#This Row],[Export_Cost_USD]]/Table1[[#This Row],[Quantity_Tons]]</f>
        <v>409.4338153503893</v>
      </c>
    </row>
    <row r="277" spans="1:10" x14ac:dyDescent="0.25">
      <c r="A277" s="1">
        <v>2020</v>
      </c>
      <c r="B277" s="1" t="s">
        <v>7</v>
      </c>
      <c r="C277" s="1" t="s">
        <v>23</v>
      </c>
      <c r="D277" s="1">
        <v>1366</v>
      </c>
      <c r="E277" s="1">
        <v>758130</v>
      </c>
      <c r="F277" s="1">
        <v>558771</v>
      </c>
      <c r="G277" s="1" t="s">
        <v>15</v>
      </c>
      <c r="H277" s="1">
        <f>Table1[[#This Row],[Export_Value_USD]]-Table1[[#This Row],[Export_Cost_USD]]</f>
        <v>199359</v>
      </c>
      <c r="I277" s="1">
        <f>Table1[[#This Row],[Export_Value_USD]]/Table1[[#This Row],[Quantity_Tons]]</f>
        <v>555</v>
      </c>
      <c r="J277" s="1">
        <f>Table1[[#This Row],[Export_Cost_USD]]/Table1[[#This Row],[Quantity_Tons]]</f>
        <v>409.05636896046855</v>
      </c>
    </row>
    <row r="278" spans="1:10" x14ac:dyDescent="0.25">
      <c r="A278" s="1">
        <v>2023</v>
      </c>
      <c r="B278" s="1" t="s">
        <v>7</v>
      </c>
      <c r="C278" s="1" t="s">
        <v>21</v>
      </c>
      <c r="D278" s="1">
        <v>1235</v>
      </c>
      <c r="E278" s="1">
        <v>838565</v>
      </c>
      <c r="F278" s="1">
        <v>542422</v>
      </c>
      <c r="G278" s="1" t="s">
        <v>13</v>
      </c>
      <c r="H278" s="1">
        <f>Table1[[#This Row],[Export_Value_USD]]-Table1[[#This Row],[Export_Cost_USD]]</f>
        <v>296143</v>
      </c>
      <c r="I278" s="1">
        <f>Table1[[#This Row],[Export_Value_USD]]/Table1[[#This Row],[Quantity_Tons]]</f>
        <v>679</v>
      </c>
      <c r="J278" s="1">
        <f>Table1[[#This Row],[Export_Cost_USD]]/Table1[[#This Row],[Quantity_Tons]]</f>
        <v>439.20809716599189</v>
      </c>
    </row>
    <row r="279" spans="1:10" x14ac:dyDescent="0.25">
      <c r="A279" s="1">
        <v>2021</v>
      </c>
      <c r="B279" s="1" t="s">
        <v>10</v>
      </c>
      <c r="C279" s="1" t="s">
        <v>19</v>
      </c>
      <c r="D279" s="1">
        <v>1205</v>
      </c>
      <c r="E279" s="1">
        <v>831450</v>
      </c>
      <c r="F279" s="1">
        <v>511035</v>
      </c>
      <c r="G279" s="1" t="s">
        <v>9</v>
      </c>
      <c r="H279" s="1">
        <f>Table1[[#This Row],[Export_Value_USD]]-Table1[[#This Row],[Export_Cost_USD]]</f>
        <v>320415</v>
      </c>
      <c r="I279" s="1">
        <f>Table1[[#This Row],[Export_Value_USD]]/Table1[[#This Row],[Quantity_Tons]]</f>
        <v>690</v>
      </c>
      <c r="J279" s="1">
        <f>Table1[[#This Row],[Export_Cost_USD]]/Table1[[#This Row],[Quantity_Tons]]</f>
        <v>424.09543568464733</v>
      </c>
    </row>
    <row r="280" spans="1:10" x14ac:dyDescent="0.25">
      <c r="A280" s="1">
        <v>2019</v>
      </c>
      <c r="B280" s="1" t="s">
        <v>16</v>
      </c>
      <c r="C280" s="1" t="s">
        <v>18</v>
      </c>
      <c r="D280" s="1">
        <v>824</v>
      </c>
      <c r="E280" s="1">
        <v>482864</v>
      </c>
      <c r="F280" s="1">
        <v>319551</v>
      </c>
      <c r="G280" s="1" t="s">
        <v>9</v>
      </c>
      <c r="H280" s="1">
        <f>Table1[[#This Row],[Export_Value_USD]]-Table1[[#This Row],[Export_Cost_USD]]</f>
        <v>163313</v>
      </c>
      <c r="I280" s="1">
        <f>Table1[[#This Row],[Export_Value_USD]]/Table1[[#This Row],[Quantity_Tons]]</f>
        <v>586</v>
      </c>
      <c r="J280" s="1">
        <f>Table1[[#This Row],[Export_Cost_USD]]/Table1[[#This Row],[Quantity_Tons]]</f>
        <v>387.80461165048541</v>
      </c>
    </row>
    <row r="281" spans="1:10" x14ac:dyDescent="0.25">
      <c r="A281" s="1">
        <v>2019</v>
      </c>
      <c r="B281" s="1" t="s">
        <v>16</v>
      </c>
      <c r="C281" s="1" t="s">
        <v>8</v>
      </c>
      <c r="D281" s="1">
        <v>1217</v>
      </c>
      <c r="E281" s="1">
        <v>703426</v>
      </c>
      <c r="F281" s="1">
        <v>514561</v>
      </c>
      <c r="G281" s="1" t="s">
        <v>9</v>
      </c>
      <c r="H281" s="1">
        <f>Table1[[#This Row],[Export_Value_USD]]-Table1[[#This Row],[Export_Cost_USD]]</f>
        <v>188865</v>
      </c>
      <c r="I281" s="1">
        <f>Table1[[#This Row],[Export_Value_USD]]/Table1[[#This Row],[Quantity_Tons]]</f>
        <v>578</v>
      </c>
      <c r="J281" s="1">
        <f>Table1[[#This Row],[Export_Cost_USD]]/Table1[[#This Row],[Quantity_Tons]]</f>
        <v>422.81101068200491</v>
      </c>
    </row>
    <row r="282" spans="1:10" x14ac:dyDescent="0.25">
      <c r="A282" s="1">
        <v>2019</v>
      </c>
      <c r="B282" s="1" t="s">
        <v>7</v>
      </c>
      <c r="C282" s="1" t="s">
        <v>20</v>
      </c>
      <c r="D282" s="1">
        <v>950</v>
      </c>
      <c r="E282" s="1">
        <v>581400</v>
      </c>
      <c r="F282" s="1">
        <v>431218</v>
      </c>
      <c r="G282" s="1" t="s">
        <v>15</v>
      </c>
      <c r="H282" s="1">
        <f>Table1[[#This Row],[Export_Value_USD]]-Table1[[#This Row],[Export_Cost_USD]]</f>
        <v>150182</v>
      </c>
      <c r="I282" s="1">
        <f>Table1[[#This Row],[Export_Value_USD]]/Table1[[#This Row],[Quantity_Tons]]</f>
        <v>612</v>
      </c>
      <c r="J282" s="1">
        <f>Table1[[#This Row],[Export_Cost_USD]]/Table1[[#This Row],[Quantity_Tons]]</f>
        <v>453.9136842105263</v>
      </c>
    </row>
    <row r="283" spans="1:10" x14ac:dyDescent="0.25">
      <c r="A283" s="1">
        <v>2023</v>
      </c>
      <c r="B283" s="1" t="s">
        <v>16</v>
      </c>
      <c r="C283" s="1" t="s">
        <v>20</v>
      </c>
      <c r="D283" s="1">
        <v>474</v>
      </c>
      <c r="E283" s="1">
        <v>313788</v>
      </c>
      <c r="F283" s="1">
        <v>213967</v>
      </c>
      <c r="G283" s="1" t="s">
        <v>9</v>
      </c>
      <c r="H283" s="1">
        <f>Table1[[#This Row],[Export_Value_USD]]-Table1[[#This Row],[Export_Cost_USD]]</f>
        <v>99821</v>
      </c>
      <c r="I283" s="1">
        <f>Table1[[#This Row],[Export_Value_USD]]/Table1[[#This Row],[Quantity_Tons]]</f>
        <v>662</v>
      </c>
      <c r="J283" s="1">
        <f>Table1[[#This Row],[Export_Cost_USD]]/Table1[[#This Row],[Quantity_Tons]]</f>
        <v>451.40717299578057</v>
      </c>
    </row>
    <row r="284" spans="1:10" x14ac:dyDescent="0.25">
      <c r="A284" s="1">
        <v>2018</v>
      </c>
      <c r="B284" s="1" t="s">
        <v>22</v>
      </c>
      <c r="C284" s="1" t="s">
        <v>21</v>
      </c>
      <c r="D284" s="1">
        <v>1105</v>
      </c>
      <c r="E284" s="1">
        <v>550290</v>
      </c>
      <c r="F284" s="1">
        <v>417619</v>
      </c>
      <c r="G284" s="1" t="s">
        <v>15</v>
      </c>
      <c r="H284" s="1">
        <f>Table1[[#This Row],[Export_Value_USD]]-Table1[[#This Row],[Export_Cost_USD]]</f>
        <v>132671</v>
      </c>
      <c r="I284" s="1">
        <f>Table1[[#This Row],[Export_Value_USD]]/Table1[[#This Row],[Quantity_Tons]]</f>
        <v>498</v>
      </c>
      <c r="J284" s="1">
        <f>Table1[[#This Row],[Export_Cost_USD]]/Table1[[#This Row],[Quantity_Tons]]</f>
        <v>377.93574660633482</v>
      </c>
    </row>
    <row r="285" spans="1:10" x14ac:dyDescent="0.25">
      <c r="A285" s="1">
        <v>2021</v>
      </c>
      <c r="B285" s="1" t="s">
        <v>10</v>
      </c>
      <c r="C285" s="1" t="s">
        <v>18</v>
      </c>
      <c r="D285" s="1">
        <v>792</v>
      </c>
      <c r="E285" s="1">
        <v>431640</v>
      </c>
      <c r="F285" s="1">
        <v>340354</v>
      </c>
      <c r="G285" s="1" t="s">
        <v>13</v>
      </c>
      <c r="H285" s="1">
        <f>Table1[[#This Row],[Export_Value_USD]]-Table1[[#This Row],[Export_Cost_USD]]</f>
        <v>91286</v>
      </c>
      <c r="I285" s="1">
        <f>Table1[[#This Row],[Export_Value_USD]]/Table1[[#This Row],[Quantity_Tons]]</f>
        <v>545</v>
      </c>
      <c r="J285" s="1">
        <f>Table1[[#This Row],[Export_Cost_USD]]/Table1[[#This Row],[Quantity_Tons]]</f>
        <v>429.73989898989902</v>
      </c>
    </row>
    <row r="286" spans="1:10" x14ac:dyDescent="0.25">
      <c r="A286" s="1">
        <v>2019</v>
      </c>
      <c r="B286" s="1" t="s">
        <v>10</v>
      </c>
      <c r="C286" s="1" t="s">
        <v>19</v>
      </c>
      <c r="D286" s="1">
        <v>274</v>
      </c>
      <c r="E286" s="1">
        <v>136726</v>
      </c>
      <c r="F286" s="1">
        <v>108568</v>
      </c>
      <c r="G286" s="1" t="s">
        <v>15</v>
      </c>
      <c r="H286" s="1">
        <f>Table1[[#This Row],[Export_Value_USD]]-Table1[[#This Row],[Export_Cost_USD]]</f>
        <v>28158</v>
      </c>
      <c r="I286" s="1">
        <f>Table1[[#This Row],[Export_Value_USD]]/Table1[[#This Row],[Quantity_Tons]]</f>
        <v>499</v>
      </c>
      <c r="J286" s="1">
        <f>Table1[[#This Row],[Export_Cost_USD]]/Table1[[#This Row],[Quantity_Tons]]</f>
        <v>396.23357664233578</v>
      </c>
    </row>
    <row r="287" spans="1:10" x14ac:dyDescent="0.25">
      <c r="A287" s="1">
        <v>2018</v>
      </c>
      <c r="B287" s="1" t="s">
        <v>16</v>
      </c>
      <c r="C287" s="1" t="s">
        <v>23</v>
      </c>
      <c r="D287" s="1">
        <v>1915</v>
      </c>
      <c r="E287" s="1">
        <v>963245</v>
      </c>
      <c r="F287" s="1">
        <v>755954</v>
      </c>
      <c r="G287" s="1" t="s">
        <v>13</v>
      </c>
      <c r="H287" s="1">
        <f>Table1[[#This Row],[Export_Value_USD]]-Table1[[#This Row],[Export_Cost_USD]]</f>
        <v>207291</v>
      </c>
      <c r="I287" s="1">
        <f>Table1[[#This Row],[Export_Value_USD]]/Table1[[#This Row],[Quantity_Tons]]</f>
        <v>503</v>
      </c>
      <c r="J287" s="1">
        <f>Table1[[#This Row],[Export_Cost_USD]]/Table1[[#This Row],[Quantity_Tons]]</f>
        <v>394.75404699738903</v>
      </c>
    </row>
    <row r="288" spans="1:10" x14ac:dyDescent="0.25">
      <c r="A288" s="1">
        <v>2021</v>
      </c>
      <c r="B288" s="1" t="s">
        <v>17</v>
      </c>
      <c r="C288" s="1" t="s">
        <v>24</v>
      </c>
      <c r="D288" s="1">
        <v>1403</v>
      </c>
      <c r="E288" s="1">
        <v>979294</v>
      </c>
      <c r="F288" s="1">
        <v>683696</v>
      </c>
      <c r="G288" s="1" t="s">
        <v>13</v>
      </c>
      <c r="H288" s="1">
        <f>Table1[[#This Row],[Export_Value_USD]]-Table1[[#This Row],[Export_Cost_USD]]</f>
        <v>295598</v>
      </c>
      <c r="I288" s="1">
        <f>Table1[[#This Row],[Export_Value_USD]]/Table1[[#This Row],[Quantity_Tons]]</f>
        <v>698</v>
      </c>
      <c r="J288" s="1">
        <f>Table1[[#This Row],[Export_Cost_USD]]/Table1[[#This Row],[Quantity_Tons]]</f>
        <v>487.31004989308622</v>
      </c>
    </row>
    <row r="289" spans="1:10" x14ac:dyDescent="0.25">
      <c r="A289" s="1">
        <v>2019</v>
      </c>
      <c r="B289" s="1" t="s">
        <v>10</v>
      </c>
      <c r="C289" s="1" t="s">
        <v>21</v>
      </c>
      <c r="D289" s="1">
        <v>655</v>
      </c>
      <c r="E289" s="1">
        <v>423785</v>
      </c>
      <c r="F289" s="1">
        <v>275862</v>
      </c>
      <c r="G289" s="1" t="s">
        <v>15</v>
      </c>
      <c r="H289" s="1">
        <f>Table1[[#This Row],[Export_Value_USD]]-Table1[[#This Row],[Export_Cost_USD]]</f>
        <v>147923</v>
      </c>
      <c r="I289" s="1">
        <f>Table1[[#This Row],[Export_Value_USD]]/Table1[[#This Row],[Quantity_Tons]]</f>
        <v>647</v>
      </c>
      <c r="J289" s="1">
        <f>Table1[[#This Row],[Export_Cost_USD]]/Table1[[#This Row],[Quantity_Tons]]</f>
        <v>421.16335877862593</v>
      </c>
    </row>
    <row r="290" spans="1:10" x14ac:dyDescent="0.25">
      <c r="A290" s="1">
        <v>2021</v>
      </c>
      <c r="B290" s="1" t="s">
        <v>17</v>
      </c>
      <c r="C290" s="1" t="s">
        <v>19</v>
      </c>
      <c r="D290" s="1">
        <v>848</v>
      </c>
      <c r="E290" s="1">
        <v>424848</v>
      </c>
      <c r="F290" s="1">
        <v>314450</v>
      </c>
      <c r="G290" s="1" t="s">
        <v>9</v>
      </c>
      <c r="H290" s="1">
        <f>Table1[[#This Row],[Export_Value_USD]]-Table1[[#This Row],[Export_Cost_USD]]</f>
        <v>110398</v>
      </c>
      <c r="I290" s="1">
        <f>Table1[[#This Row],[Export_Value_USD]]/Table1[[#This Row],[Quantity_Tons]]</f>
        <v>501</v>
      </c>
      <c r="J290" s="1">
        <f>Table1[[#This Row],[Export_Cost_USD]]/Table1[[#This Row],[Quantity_Tons]]</f>
        <v>370.81367924528303</v>
      </c>
    </row>
    <row r="291" spans="1:10" x14ac:dyDescent="0.25">
      <c r="A291" s="1">
        <v>2021</v>
      </c>
      <c r="B291" s="1" t="s">
        <v>16</v>
      </c>
      <c r="C291" s="1" t="s">
        <v>19</v>
      </c>
      <c r="D291" s="1">
        <v>579</v>
      </c>
      <c r="E291" s="1">
        <v>304554</v>
      </c>
      <c r="F291" s="1">
        <v>192085</v>
      </c>
      <c r="G291" s="1" t="s">
        <v>9</v>
      </c>
      <c r="H291" s="1">
        <f>Table1[[#This Row],[Export_Value_USD]]-Table1[[#This Row],[Export_Cost_USD]]</f>
        <v>112469</v>
      </c>
      <c r="I291" s="1">
        <f>Table1[[#This Row],[Export_Value_USD]]/Table1[[#This Row],[Quantity_Tons]]</f>
        <v>526</v>
      </c>
      <c r="J291" s="1">
        <f>Table1[[#This Row],[Export_Cost_USD]]/Table1[[#This Row],[Quantity_Tons]]</f>
        <v>331.7530224525043</v>
      </c>
    </row>
    <row r="292" spans="1:10" x14ac:dyDescent="0.25">
      <c r="A292" s="1">
        <v>2020</v>
      </c>
      <c r="B292" s="1" t="s">
        <v>7</v>
      </c>
      <c r="C292" s="1" t="s">
        <v>23</v>
      </c>
      <c r="D292" s="1">
        <v>1245</v>
      </c>
      <c r="E292" s="1">
        <v>531615</v>
      </c>
      <c r="F292" s="1">
        <v>418985</v>
      </c>
      <c r="G292" s="1" t="s">
        <v>9</v>
      </c>
      <c r="H292" s="1">
        <f>Table1[[#This Row],[Export_Value_USD]]-Table1[[#This Row],[Export_Cost_USD]]</f>
        <v>112630</v>
      </c>
      <c r="I292" s="1">
        <f>Table1[[#This Row],[Export_Value_USD]]/Table1[[#This Row],[Quantity_Tons]]</f>
        <v>427</v>
      </c>
      <c r="J292" s="1">
        <f>Table1[[#This Row],[Export_Cost_USD]]/Table1[[#This Row],[Quantity_Tons]]</f>
        <v>336.53413654618475</v>
      </c>
    </row>
    <row r="293" spans="1:10" x14ac:dyDescent="0.25">
      <c r="A293" s="1">
        <v>2020</v>
      </c>
      <c r="B293" s="1" t="s">
        <v>12</v>
      </c>
      <c r="C293" s="1" t="s">
        <v>23</v>
      </c>
      <c r="D293" s="1">
        <v>1518</v>
      </c>
      <c r="E293" s="1">
        <v>677028</v>
      </c>
      <c r="F293" s="1">
        <v>534337</v>
      </c>
      <c r="G293" s="1" t="s">
        <v>9</v>
      </c>
      <c r="H293" s="1">
        <f>Table1[[#This Row],[Export_Value_USD]]-Table1[[#This Row],[Export_Cost_USD]]</f>
        <v>142691</v>
      </c>
      <c r="I293" s="1">
        <f>Table1[[#This Row],[Export_Value_USD]]/Table1[[#This Row],[Quantity_Tons]]</f>
        <v>446</v>
      </c>
      <c r="J293" s="1">
        <f>Table1[[#This Row],[Export_Cost_USD]]/Table1[[#This Row],[Quantity_Tons]]</f>
        <v>352.00065876152831</v>
      </c>
    </row>
    <row r="294" spans="1:10" x14ac:dyDescent="0.25">
      <c r="A294" s="1">
        <v>2022</v>
      </c>
      <c r="B294" s="1" t="s">
        <v>12</v>
      </c>
      <c r="C294" s="1" t="s">
        <v>11</v>
      </c>
      <c r="D294" s="1">
        <v>1112</v>
      </c>
      <c r="E294" s="1">
        <v>674984</v>
      </c>
      <c r="F294" s="1">
        <v>524572</v>
      </c>
      <c r="G294" s="1" t="s">
        <v>9</v>
      </c>
      <c r="H294" s="1">
        <f>Table1[[#This Row],[Export_Value_USD]]-Table1[[#This Row],[Export_Cost_USD]]</f>
        <v>150412</v>
      </c>
      <c r="I294" s="1">
        <f>Table1[[#This Row],[Export_Value_USD]]/Table1[[#This Row],[Quantity_Tons]]</f>
        <v>607</v>
      </c>
      <c r="J294" s="1">
        <f>Table1[[#This Row],[Export_Cost_USD]]/Table1[[#This Row],[Quantity_Tons]]</f>
        <v>471.73741007194246</v>
      </c>
    </row>
    <row r="295" spans="1:10" x14ac:dyDescent="0.25">
      <c r="A295" s="1">
        <v>2022</v>
      </c>
      <c r="B295" s="1" t="s">
        <v>16</v>
      </c>
      <c r="C295" s="1" t="s">
        <v>8</v>
      </c>
      <c r="D295" s="1">
        <v>1978</v>
      </c>
      <c r="E295" s="1">
        <v>838672</v>
      </c>
      <c r="F295" s="1">
        <v>635153</v>
      </c>
      <c r="G295" s="1" t="s">
        <v>9</v>
      </c>
      <c r="H295" s="1">
        <f>Table1[[#This Row],[Export_Value_USD]]-Table1[[#This Row],[Export_Cost_USD]]</f>
        <v>203519</v>
      </c>
      <c r="I295" s="1">
        <f>Table1[[#This Row],[Export_Value_USD]]/Table1[[#This Row],[Quantity_Tons]]</f>
        <v>424</v>
      </c>
      <c r="J295" s="1">
        <f>Table1[[#This Row],[Export_Cost_USD]]/Table1[[#This Row],[Quantity_Tons]]</f>
        <v>321.10869565217394</v>
      </c>
    </row>
    <row r="296" spans="1:10" x14ac:dyDescent="0.25">
      <c r="A296" s="1">
        <v>2022</v>
      </c>
      <c r="B296" s="1" t="s">
        <v>7</v>
      </c>
      <c r="C296" s="1" t="s">
        <v>19</v>
      </c>
      <c r="D296" s="1">
        <v>1811</v>
      </c>
      <c r="E296" s="1">
        <v>965263</v>
      </c>
      <c r="F296" s="1">
        <v>702009</v>
      </c>
      <c r="G296" s="1" t="s">
        <v>13</v>
      </c>
      <c r="H296" s="1">
        <f>Table1[[#This Row],[Export_Value_USD]]-Table1[[#This Row],[Export_Cost_USD]]</f>
        <v>263254</v>
      </c>
      <c r="I296" s="1">
        <f>Table1[[#This Row],[Export_Value_USD]]/Table1[[#This Row],[Quantity_Tons]]</f>
        <v>533</v>
      </c>
      <c r="J296" s="1">
        <f>Table1[[#This Row],[Export_Cost_USD]]/Table1[[#This Row],[Quantity_Tons]]</f>
        <v>387.63611264494756</v>
      </c>
    </row>
    <row r="297" spans="1:10" x14ac:dyDescent="0.25">
      <c r="A297" s="1">
        <v>2018</v>
      </c>
      <c r="B297" s="1" t="s">
        <v>10</v>
      </c>
      <c r="C297" s="1" t="s">
        <v>19</v>
      </c>
      <c r="D297" s="1">
        <v>1911</v>
      </c>
      <c r="E297" s="1">
        <v>888615</v>
      </c>
      <c r="F297" s="1">
        <v>652977</v>
      </c>
      <c r="G297" s="1" t="s">
        <v>15</v>
      </c>
      <c r="H297" s="1">
        <f>Table1[[#This Row],[Export_Value_USD]]-Table1[[#This Row],[Export_Cost_USD]]</f>
        <v>235638</v>
      </c>
      <c r="I297" s="1">
        <f>Table1[[#This Row],[Export_Value_USD]]/Table1[[#This Row],[Quantity_Tons]]</f>
        <v>465</v>
      </c>
      <c r="J297" s="1">
        <f>Table1[[#This Row],[Export_Cost_USD]]/Table1[[#This Row],[Quantity_Tons]]</f>
        <v>341.69387755102042</v>
      </c>
    </row>
    <row r="298" spans="1:10" x14ac:dyDescent="0.25">
      <c r="A298" s="1">
        <v>2022</v>
      </c>
      <c r="B298" s="1" t="s">
        <v>7</v>
      </c>
      <c r="C298" s="1" t="s">
        <v>14</v>
      </c>
      <c r="D298" s="1">
        <v>1531</v>
      </c>
      <c r="E298" s="1">
        <v>655268</v>
      </c>
      <c r="F298" s="1">
        <v>432810</v>
      </c>
      <c r="G298" s="1" t="s">
        <v>9</v>
      </c>
      <c r="H298" s="1">
        <f>Table1[[#This Row],[Export_Value_USD]]-Table1[[#This Row],[Export_Cost_USD]]</f>
        <v>222458</v>
      </c>
      <c r="I298" s="1">
        <f>Table1[[#This Row],[Export_Value_USD]]/Table1[[#This Row],[Quantity_Tons]]</f>
        <v>428</v>
      </c>
      <c r="J298" s="1">
        <f>Table1[[#This Row],[Export_Cost_USD]]/Table1[[#This Row],[Quantity_Tons]]</f>
        <v>282.6975832789027</v>
      </c>
    </row>
    <row r="299" spans="1:10" x14ac:dyDescent="0.25">
      <c r="A299" s="1">
        <v>2020</v>
      </c>
      <c r="B299" s="1" t="s">
        <v>7</v>
      </c>
      <c r="C299" s="1" t="s">
        <v>19</v>
      </c>
      <c r="D299" s="1">
        <v>1115</v>
      </c>
      <c r="E299" s="1">
        <v>582030</v>
      </c>
      <c r="F299" s="1">
        <v>353312</v>
      </c>
      <c r="G299" s="1" t="s">
        <v>9</v>
      </c>
      <c r="H299" s="1">
        <f>Table1[[#This Row],[Export_Value_USD]]-Table1[[#This Row],[Export_Cost_USD]]</f>
        <v>228718</v>
      </c>
      <c r="I299" s="1">
        <f>Table1[[#This Row],[Export_Value_USD]]/Table1[[#This Row],[Quantity_Tons]]</f>
        <v>522</v>
      </c>
      <c r="J299" s="1">
        <f>Table1[[#This Row],[Export_Cost_USD]]/Table1[[#This Row],[Quantity_Tons]]</f>
        <v>316.87174887892377</v>
      </c>
    </row>
    <row r="300" spans="1:10" x14ac:dyDescent="0.25">
      <c r="A300" s="1">
        <v>2021</v>
      </c>
      <c r="B300" s="1" t="s">
        <v>17</v>
      </c>
      <c r="C300" s="1" t="s">
        <v>18</v>
      </c>
      <c r="D300" s="1">
        <v>396</v>
      </c>
      <c r="E300" s="1">
        <v>271656</v>
      </c>
      <c r="F300" s="1">
        <v>192680</v>
      </c>
      <c r="G300" s="1" t="s">
        <v>15</v>
      </c>
      <c r="H300" s="1">
        <f>Table1[[#This Row],[Export_Value_USD]]-Table1[[#This Row],[Export_Cost_USD]]</f>
        <v>78976</v>
      </c>
      <c r="I300" s="1">
        <f>Table1[[#This Row],[Export_Value_USD]]/Table1[[#This Row],[Quantity_Tons]]</f>
        <v>686</v>
      </c>
      <c r="J300" s="1">
        <f>Table1[[#This Row],[Export_Cost_USD]]/Table1[[#This Row],[Quantity_Tons]]</f>
        <v>486.56565656565658</v>
      </c>
    </row>
    <row r="301" spans="1:10" x14ac:dyDescent="0.25">
      <c r="A301" s="1">
        <v>2018</v>
      </c>
      <c r="B301" s="1" t="s">
        <v>12</v>
      </c>
      <c r="C301" s="1" t="s">
        <v>19</v>
      </c>
      <c r="D301" s="1">
        <v>1522</v>
      </c>
      <c r="E301" s="1">
        <v>951250</v>
      </c>
      <c r="F301" s="1">
        <v>598402</v>
      </c>
      <c r="G301" s="1" t="s">
        <v>15</v>
      </c>
      <c r="H301" s="1">
        <f>Table1[[#This Row],[Export_Value_USD]]-Table1[[#This Row],[Export_Cost_USD]]</f>
        <v>352848</v>
      </c>
      <c r="I301" s="1">
        <f>Table1[[#This Row],[Export_Value_USD]]/Table1[[#This Row],[Quantity_Tons]]</f>
        <v>625</v>
      </c>
      <c r="J301" s="1">
        <f>Table1[[#This Row],[Export_Cost_USD]]/Table1[[#This Row],[Quantity_Tons]]</f>
        <v>393.16819973718793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5ED35-F267-4AA9-AEE1-F6FDA2481AF0}">
  <dimension ref="A1:J301"/>
  <sheetViews>
    <sheetView workbookViewId="0">
      <selection activeCell="L10" sqref="L10"/>
    </sheetView>
  </sheetViews>
  <sheetFormatPr defaultRowHeight="15" x14ac:dyDescent="0.25"/>
  <cols>
    <col min="1" max="1" width="7.28515625" bestFit="1" customWidth="1"/>
    <col min="2" max="2" width="12.28515625" bestFit="1" customWidth="1"/>
    <col min="3" max="3" width="21.85546875" bestFit="1" customWidth="1"/>
    <col min="4" max="4" width="16.28515625" bestFit="1" customWidth="1"/>
    <col min="5" max="5" width="20.140625" bestFit="1" customWidth="1"/>
    <col min="6" max="6" width="18.7109375" bestFit="1" customWidth="1"/>
    <col min="7" max="7" width="17.140625" bestFit="1" customWidth="1"/>
    <col min="8" max="8" width="12.85546875" bestFit="1" customWidth="1"/>
    <col min="9" max="9" width="17.7109375" bestFit="1" customWidth="1"/>
    <col min="10" max="10" width="13.7109375" bestFit="1" customWidth="1"/>
  </cols>
  <sheetData>
    <row r="1" spans="1:10" x14ac:dyDescent="0.25">
      <c r="A1" t="s">
        <v>0</v>
      </c>
      <c r="B1" t="s">
        <v>1</v>
      </c>
      <c r="C1" t="s">
        <v>2</v>
      </c>
      <c r="D1" t="s">
        <v>3</v>
      </c>
      <c r="E1" t="s">
        <v>4</v>
      </c>
      <c r="F1" t="s">
        <v>5</v>
      </c>
      <c r="G1" t="s">
        <v>6</v>
      </c>
      <c r="H1" t="s">
        <v>25</v>
      </c>
      <c r="I1" t="s">
        <v>26</v>
      </c>
      <c r="J1" t="s">
        <v>27</v>
      </c>
    </row>
    <row r="2" spans="1:10" x14ac:dyDescent="0.25">
      <c r="A2">
        <v>2019</v>
      </c>
      <c r="B2" t="s">
        <v>7</v>
      </c>
      <c r="C2" t="s">
        <v>8</v>
      </c>
      <c r="D2">
        <v>651</v>
      </c>
      <c r="E2">
        <v>274722</v>
      </c>
      <c r="F2">
        <v>207747</v>
      </c>
      <c r="G2" t="s">
        <v>9</v>
      </c>
      <c r="H2">
        <v>66975</v>
      </c>
      <c r="I2">
        <v>422</v>
      </c>
      <c r="J2">
        <v>319.1198</v>
      </c>
    </row>
    <row r="3" spans="1:10" x14ac:dyDescent="0.25">
      <c r="A3">
        <v>2019</v>
      </c>
      <c r="B3" t="s">
        <v>10</v>
      </c>
      <c r="C3" t="s">
        <v>11</v>
      </c>
      <c r="D3">
        <v>963</v>
      </c>
      <c r="E3">
        <v>420831</v>
      </c>
      <c r="F3">
        <v>288373</v>
      </c>
      <c r="G3" t="s">
        <v>9</v>
      </c>
      <c r="H3">
        <v>132458</v>
      </c>
      <c r="I3">
        <v>437</v>
      </c>
      <c r="J3">
        <v>299.45280000000002</v>
      </c>
    </row>
    <row r="4" spans="1:10" x14ac:dyDescent="0.25">
      <c r="A4">
        <v>2018</v>
      </c>
      <c r="B4" t="s">
        <v>12</v>
      </c>
      <c r="C4" t="s">
        <v>8</v>
      </c>
      <c r="D4">
        <v>519</v>
      </c>
      <c r="E4">
        <v>353958</v>
      </c>
      <c r="F4">
        <v>280214</v>
      </c>
      <c r="G4" t="s">
        <v>13</v>
      </c>
      <c r="H4">
        <v>73744</v>
      </c>
      <c r="I4">
        <v>682</v>
      </c>
      <c r="J4">
        <v>539.91139999999996</v>
      </c>
    </row>
    <row r="5" spans="1:10" x14ac:dyDescent="0.25">
      <c r="A5">
        <v>2022</v>
      </c>
      <c r="B5" t="s">
        <v>10</v>
      </c>
      <c r="C5" t="s">
        <v>8</v>
      </c>
      <c r="D5">
        <v>978</v>
      </c>
      <c r="E5">
        <v>523230</v>
      </c>
      <c r="F5">
        <v>334842</v>
      </c>
      <c r="G5" t="s">
        <v>9</v>
      </c>
      <c r="H5">
        <v>188388</v>
      </c>
      <c r="I5">
        <v>535</v>
      </c>
      <c r="J5">
        <v>342.37419999999997</v>
      </c>
    </row>
    <row r="6" spans="1:10" x14ac:dyDescent="0.25">
      <c r="A6">
        <v>2021</v>
      </c>
      <c r="B6" t="s">
        <v>7</v>
      </c>
      <c r="C6" t="s">
        <v>14</v>
      </c>
      <c r="D6">
        <v>977</v>
      </c>
      <c r="E6">
        <v>461144</v>
      </c>
      <c r="F6">
        <v>322658</v>
      </c>
      <c r="G6" t="s">
        <v>13</v>
      </c>
      <c r="H6">
        <v>138486</v>
      </c>
      <c r="I6">
        <v>472</v>
      </c>
      <c r="J6">
        <v>330.25380000000001</v>
      </c>
    </row>
    <row r="7" spans="1:10" x14ac:dyDescent="0.25">
      <c r="A7">
        <v>2022</v>
      </c>
      <c r="B7" t="s">
        <v>10</v>
      </c>
      <c r="C7" t="s">
        <v>8</v>
      </c>
      <c r="D7">
        <v>1344</v>
      </c>
      <c r="E7">
        <v>880320</v>
      </c>
      <c r="F7">
        <v>586078</v>
      </c>
      <c r="G7" t="s">
        <v>15</v>
      </c>
      <c r="H7">
        <v>294242</v>
      </c>
      <c r="I7">
        <v>655</v>
      </c>
      <c r="J7">
        <v>436.06990000000002</v>
      </c>
    </row>
    <row r="8" spans="1:10" x14ac:dyDescent="0.25">
      <c r="A8">
        <v>2018</v>
      </c>
      <c r="B8" t="s">
        <v>16</v>
      </c>
      <c r="C8" t="s">
        <v>8</v>
      </c>
      <c r="D8">
        <v>826</v>
      </c>
      <c r="E8">
        <v>567462</v>
      </c>
      <c r="F8">
        <v>401237</v>
      </c>
      <c r="G8" t="s">
        <v>9</v>
      </c>
      <c r="H8">
        <v>166225</v>
      </c>
      <c r="I8">
        <v>687</v>
      </c>
      <c r="J8">
        <v>485.75909999999999</v>
      </c>
    </row>
    <row r="9" spans="1:10" x14ac:dyDescent="0.25">
      <c r="A9">
        <v>2021</v>
      </c>
      <c r="B9" t="s">
        <v>17</v>
      </c>
      <c r="C9" t="s">
        <v>18</v>
      </c>
      <c r="D9">
        <v>300</v>
      </c>
      <c r="E9">
        <v>148200</v>
      </c>
      <c r="F9">
        <v>114394</v>
      </c>
      <c r="G9" t="s">
        <v>13</v>
      </c>
      <c r="H9">
        <v>33806</v>
      </c>
      <c r="I9">
        <v>494</v>
      </c>
      <c r="J9">
        <v>381.31330000000003</v>
      </c>
    </row>
    <row r="10" spans="1:10" x14ac:dyDescent="0.25">
      <c r="A10">
        <v>2021</v>
      </c>
      <c r="B10" t="s">
        <v>17</v>
      </c>
      <c r="C10" t="s">
        <v>14</v>
      </c>
      <c r="D10">
        <v>1378</v>
      </c>
      <c r="E10">
        <v>903968</v>
      </c>
      <c r="F10">
        <v>630413</v>
      </c>
      <c r="G10" t="s">
        <v>9</v>
      </c>
      <c r="H10">
        <v>273555</v>
      </c>
      <c r="I10">
        <v>656</v>
      </c>
      <c r="J10">
        <v>457.48399999999998</v>
      </c>
    </row>
    <row r="11" spans="1:10" x14ac:dyDescent="0.25">
      <c r="A11">
        <v>2022</v>
      </c>
      <c r="B11" t="s">
        <v>7</v>
      </c>
      <c r="C11" t="s">
        <v>18</v>
      </c>
      <c r="D11">
        <v>495</v>
      </c>
      <c r="E11">
        <v>331650</v>
      </c>
      <c r="F11">
        <v>215090</v>
      </c>
      <c r="G11" t="s">
        <v>9</v>
      </c>
      <c r="H11">
        <v>116560</v>
      </c>
      <c r="I11">
        <v>670</v>
      </c>
      <c r="J11">
        <v>434.52530000000002</v>
      </c>
    </row>
    <row r="12" spans="1:10" x14ac:dyDescent="0.25">
      <c r="A12">
        <v>2022</v>
      </c>
      <c r="B12" t="s">
        <v>12</v>
      </c>
      <c r="C12" t="s">
        <v>19</v>
      </c>
      <c r="D12">
        <v>805</v>
      </c>
      <c r="E12">
        <v>516810</v>
      </c>
      <c r="F12">
        <v>399106</v>
      </c>
      <c r="G12" t="s">
        <v>13</v>
      </c>
      <c r="H12">
        <v>117704</v>
      </c>
      <c r="I12">
        <v>642</v>
      </c>
      <c r="J12">
        <v>495.78390000000002</v>
      </c>
    </row>
    <row r="13" spans="1:10" x14ac:dyDescent="0.25">
      <c r="A13">
        <v>2020</v>
      </c>
      <c r="B13" t="s">
        <v>12</v>
      </c>
      <c r="C13" t="s">
        <v>11</v>
      </c>
      <c r="D13">
        <v>1414</v>
      </c>
      <c r="E13">
        <v>599536</v>
      </c>
      <c r="F13">
        <v>416796</v>
      </c>
      <c r="G13" t="s">
        <v>9</v>
      </c>
      <c r="H13">
        <v>182740</v>
      </c>
      <c r="I13">
        <v>424</v>
      </c>
      <c r="J13">
        <v>294.7638</v>
      </c>
    </row>
    <row r="14" spans="1:10" x14ac:dyDescent="0.25">
      <c r="A14">
        <v>2018</v>
      </c>
      <c r="B14" t="s">
        <v>10</v>
      </c>
      <c r="C14" t="s">
        <v>20</v>
      </c>
      <c r="D14">
        <v>462</v>
      </c>
      <c r="E14">
        <v>263340</v>
      </c>
      <c r="F14">
        <v>167086</v>
      </c>
      <c r="G14" t="s">
        <v>15</v>
      </c>
      <c r="H14">
        <v>96254</v>
      </c>
      <c r="I14">
        <v>570</v>
      </c>
      <c r="J14">
        <v>361.65800000000002</v>
      </c>
    </row>
    <row r="15" spans="1:10" x14ac:dyDescent="0.25">
      <c r="A15">
        <v>2022</v>
      </c>
      <c r="B15" t="s">
        <v>17</v>
      </c>
      <c r="C15" t="s">
        <v>19</v>
      </c>
      <c r="D15">
        <v>1011</v>
      </c>
      <c r="E15">
        <v>411477</v>
      </c>
      <c r="F15">
        <v>249819</v>
      </c>
      <c r="G15" t="s">
        <v>9</v>
      </c>
      <c r="H15">
        <v>161658</v>
      </c>
      <c r="I15">
        <v>407</v>
      </c>
      <c r="J15">
        <v>247.1009</v>
      </c>
    </row>
    <row r="16" spans="1:10" x14ac:dyDescent="0.25">
      <c r="A16">
        <v>2019</v>
      </c>
      <c r="B16" t="s">
        <v>12</v>
      </c>
      <c r="C16" t="s">
        <v>18</v>
      </c>
      <c r="D16">
        <v>1243</v>
      </c>
      <c r="E16">
        <v>672463</v>
      </c>
      <c r="F16">
        <v>529238</v>
      </c>
      <c r="G16" t="s">
        <v>15</v>
      </c>
      <c r="H16">
        <v>143225</v>
      </c>
      <c r="I16">
        <v>541</v>
      </c>
      <c r="J16">
        <v>425.7747</v>
      </c>
    </row>
    <row r="17" spans="1:10" x14ac:dyDescent="0.25">
      <c r="A17">
        <v>2019</v>
      </c>
      <c r="B17" t="s">
        <v>16</v>
      </c>
      <c r="C17" t="s">
        <v>11</v>
      </c>
      <c r="D17">
        <v>1130</v>
      </c>
      <c r="E17">
        <v>714160</v>
      </c>
      <c r="F17">
        <v>564593</v>
      </c>
      <c r="G17" t="s">
        <v>9</v>
      </c>
      <c r="H17">
        <v>149567</v>
      </c>
      <c r="I17">
        <v>632</v>
      </c>
      <c r="J17">
        <v>499.63979999999998</v>
      </c>
    </row>
    <row r="18" spans="1:10" x14ac:dyDescent="0.25">
      <c r="A18">
        <v>2018</v>
      </c>
      <c r="B18" t="s">
        <v>12</v>
      </c>
      <c r="C18" t="s">
        <v>20</v>
      </c>
      <c r="D18">
        <v>328</v>
      </c>
      <c r="E18">
        <v>168920</v>
      </c>
      <c r="F18">
        <v>107272</v>
      </c>
      <c r="G18" t="s">
        <v>9</v>
      </c>
      <c r="H18">
        <v>61648</v>
      </c>
      <c r="I18">
        <v>515</v>
      </c>
      <c r="J18">
        <v>327.04880000000003</v>
      </c>
    </row>
    <row r="19" spans="1:10" x14ac:dyDescent="0.25">
      <c r="A19">
        <v>2019</v>
      </c>
      <c r="B19" t="s">
        <v>10</v>
      </c>
      <c r="C19" t="s">
        <v>18</v>
      </c>
      <c r="D19">
        <v>1471</v>
      </c>
      <c r="E19">
        <v>594284</v>
      </c>
      <c r="F19">
        <v>410053</v>
      </c>
      <c r="G19" t="s">
        <v>13</v>
      </c>
      <c r="H19">
        <v>184231</v>
      </c>
      <c r="I19">
        <v>404</v>
      </c>
      <c r="J19">
        <v>278.75799999999998</v>
      </c>
    </row>
    <row r="20" spans="1:10" x14ac:dyDescent="0.25">
      <c r="A20">
        <v>2018</v>
      </c>
      <c r="B20" t="s">
        <v>17</v>
      </c>
      <c r="C20" t="s">
        <v>20</v>
      </c>
      <c r="D20">
        <v>1407</v>
      </c>
      <c r="E20">
        <v>659883</v>
      </c>
      <c r="F20">
        <v>419908</v>
      </c>
      <c r="G20" t="s">
        <v>13</v>
      </c>
      <c r="H20">
        <v>239975</v>
      </c>
      <c r="I20">
        <v>469</v>
      </c>
      <c r="J20">
        <v>298.44209999999998</v>
      </c>
    </row>
    <row r="21" spans="1:10" x14ac:dyDescent="0.25">
      <c r="A21">
        <v>2020</v>
      </c>
      <c r="B21" t="s">
        <v>10</v>
      </c>
      <c r="C21" t="s">
        <v>14</v>
      </c>
      <c r="D21">
        <v>822</v>
      </c>
      <c r="E21">
        <v>443880</v>
      </c>
      <c r="F21">
        <v>351600</v>
      </c>
      <c r="G21" t="s">
        <v>15</v>
      </c>
      <c r="H21">
        <v>92280</v>
      </c>
      <c r="I21">
        <v>540</v>
      </c>
      <c r="J21">
        <v>427.73719999999997</v>
      </c>
    </row>
    <row r="22" spans="1:10" x14ac:dyDescent="0.25">
      <c r="A22">
        <v>2023</v>
      </c>
      <c r="B22" t="s">
        <v>12</v>
      </c>
      <c r="C22" t="s">
        <v>21</v>
      </c>
      <c r="D22">
        <v>902</v>
      </c>
      <c r="E22">
        <v>426646</v>
      </c>
      <c r="F22">
        <v>298904</v>
      </c>
      <c r="G22" t="s">
        <v>9</v>
      </c>
      <c r="H22">
        <v>127742</v>
      </c>
      <c r="I22">
        <v>473</v>
      </c>
      <c r="J22">
        <v>331.37920000000003</v>
      </c>
    </row>
    <row r="23" spans="1:10" x14ac:dyDescent="0.25">
      <c r="A23">
        <v>2019</v>
      </c>
      <c r="B23" t="s">
        <v>16</v>
      </c>
      <c r="C23" t="s">
        <v>11</v>
      </c>
      <c r="D23">
        <v>510</v>
      </c>
      <c r="E23">
        <v>346800</v>
      </c>
      <c r="F23">
        <v>210081</v>
      </c>
      <c r="G23" t="s">
        <v>13</v>
      </c>
      <c r="H23">
        <v>136719</v>
      </c>
      <c r="I23">
        <v>680</v>
      </c>
      <c r="J23">
        <v>411.92349999999999</v>
      </c>
    </row>
    <row r="24" spans="1:10" x14ac:dyDescent="0.25">
      <c r="A24">
        <v>2022</v>
      </c>
      <c r="B24" t="s">
        <v>22</v>
      </c>
      <c r="C24" t="s">
        <v>14</v>
      </c>
      <c r="D24">
        <v>1065</v>
      </c>
      <c r="E24">
        <v>430260</v>
      </c>
      <c r="F24">
        <v>319450</v>
      </c>
      <c r="G24" t="s">
        <v>15</v>
      </c>
      <c r="H24">
        <v>110810</v>
      </c>
      <c r="I24">
        <v>404</v>
      </c>
      <c r="J24">
        <v>299.95310000000001</v>
      </c>
    </row>
    <row r="25" spans="1:10" x14ac:dyDescent="0.25">
      <c r="A25">
        <v>2023</v>
      </c>
      <c r="B25" t="s">
        <v>7</v>
      </c>
      <c r="C25" t="s">
        <v>21</v>
      </c>
      <c r="D25">
        <v>1104</v>
      </c>
      <c r="E25">
        <v>546480</v>
      </c>
      <c r="F25">
        <v>412160</v>
      </c>
      <c r="G25" t="s">
        <v>15</v>
      </c>
      <c r="H25">
        <v>134320</v>
      </c>
      <c r="I25">
        <v>495</v>
      </c>
      <c r="J25">
        <v>373.33330000000001</v>
      </c>
    </row>
    <row r="26" spans="1:10" x14ac:dyDescent="0.25">
      <c r="A26">
        <v>2018</v>
      </c>
      <c r="B26" t="s">
        <v>16</v>
      </c>
      <c r="C26" t="s">
        <v>19</v>
      </c>
      <c r="D26">
        <v>1343</v>
      </c>
      <c r="E26">
        <v>702389</v>
      </c>
      <c r="F26">
        <v>429836</v>
      </c>
      <c r="G26" t="s">
        <v>9</v>
      </c>
      <c r="H26">
        <v>272553</v>
      </c>
      <c r="I26">
        <v>523</v>
      </c>
      <c r="J26">
        <v>320.0566</v>
      </c>
    </row>
    <row r="27" spans="1:10" x14ac:dyDescent="0.25">
      <c r="A27">
        <v>2021</v>
      </c>
      <c r="B27" t="s">
        <v>17</v>
      </c>
      <c r="C27" t="s">
        <v>20</v>
      </c>
      <c r="D27">
        <v>764</v>
      </c>
      <c r="E27">
        <v>498892</v>
      </c>
      <c r="F27">
        <v>352430</v>
      </c>
      <c r="G27" t="s">
        <v>9</v>
      </c>
      <c r="H27">
        <v>146462</v>
      </c>
      <c r="I27">
        <v>653</v>
      </c>
      <c r="J27">
        <v>461.29579999999999</v>
      </c>
    </row>
    <row r="28" spans="1:10" x14ac:dyDescent="0.25">
      <c r="A28">
        <v>2018</v>
      </c>
      <c r="B28" t="s">
        <v>7</v>
      </c>
      <c r="C28" t="s">
        <v>19</v>
      </c>
      <c r="D28">
        <v>1200</v>
      </c>
      <c r="E28">
        <v>748800</v>
      </c>
      <c r="F28">
        <v>528227</v>
      </c>
      <c r="G28" t="s">
        <v>15</v>
      </c>
      <c r="H28">
        <v>220573</v>
      </c>
      <c r="I28">
        <v>624</v>
      </c>
      <c r="J28">
        <v>440.18920000000003</v>
      </c>
    </row>
    <row r="29" spans="1:10" x14ac:dyDescent="0.25">
      <c r="A29">
        <v>2022</v>
      </c>
      <c r="B29" t="s">
        <v>16</v>
      </c>
      <c r="C29" t="s">
        <v>8</v>
      </c>
      <c r="D29">
        <v>1312</v>
      </c>
      <c r="E29">
        <v>860672</v>
      </c>
      <c r="F29">
        <v>564337</v>
      </c>
      <c r="G29" t="s">
        <v>15</v>
      </c>
      <c r="H29">
        <v>296335</v>
      </c>
      <c r="I29">
        <v>656</v>
      </c>
      <c r="J29">
        <v>430.13490000000002</v>
      </c>
    </row>
    <row r="30" spans="1:10" x14ac:dyDescent="0.25">
      <c r="A30">
        <v>2019</v>
      </c>
      <c r="B30" t="s">
        <v>10</v>
      </c>
      <c r="C30" t="s">
        <v>11</v>
      </c>
      <c r="D30">
        <v>826</v>
      </c>
      <c r="E30">
        <v>555898</v>
      </c>
      <c r="F30">
        <v>398367</v>
      </c>
      <c r="G30" t="s">
        <v>13</v>
      </c>
      <c r="H30">
        <v>157531</v>
      </c>
      <c r="I30">
        <v>673</v>
      </c>
      <c r="J30">
        <v>482.28449999999998</v>
      </c>
    </row>
    <row r="31" spans="1:10" x14ac:dyDescent="0.25">
      <c r="A31">
        <v>2021</v>
      </c>
      <c r="B31" t="s">
        <v>12</v>
      </c>
      <c r="C31" t="s">
        <v>19</v>
      </c>
      <c r="D31">
        <v>1834</v>
      </c>
      <c r="E31">
        <v>1248954</v>
      </c>
      <c r="F31">
        <v>791507</v>
      </c>
      <c r="G31" t="s">
        <v>15</v>
      </c>
      <c r="H31">
        <v>457447</v>
      </c>
      <c r="I31">
        <v>681</v>
      </c>
      <c r="J31">
        <v>431.57420000000002</v>
      </c>
    </row>
    <row r="32" spans="1:10" x14ac:dyDescent="0.25">
      <c r="A32">
        <v>2021</v>
      </c>
      <c r="B32" t="s">
        <v>16</v>
      </c>
      <c r="C32" t="s">
        <v>19</v>
      </c>
      <c r="D32">
        <v>426</v>
      </c>
      <c r="E32">
        <v>287124</v>
      </c>
      <c r="F32">
        <v>205207</v>
      </c>
      <c r="G32" t="s">
        <v>15</v>
      </c>
      <c r="H32">
        <v>81917</v>
      </c>
      <c r="I32">
        <v>674</v>
      </c>
      <c r="J32">
        <v>481.70659999999998</v>
      </c>
    </row>
    <row r="33" spans="1:10" x14ac:dyDescent="0.25">
      <c r="A33">
        <v>2023</v>
      </c>
      <c r="B33" t="s">
        <v>12</v>
      </c>
      <c r="C33" t="s">
        <v>20</v>
      </c>
      <c r="D33">
        <v>1059</v>
      </c>
      <c r="E33">
        <v>440544</v>
      </c>
      <c r="F33">
        <v>281818</v>
      </c>
      <c r="G33" t="s">
        <v>13</v>
      </c>
      <c r="H33">
        <v>158726</v>
      </c>
      <c r="I33">
        <v>416</v>
      </c>
      <c r="J33">
        <v>266.11709999999999</v>
      </c>
    </row>
    <row r="34" spans="1:10" x14ac:dyDescent="0.25">
      <c r="A34">
        <v>2022</v>
      </c>
      <c r="B34" t="s">
        <v>17</v>
      </c>
      <c r="C34" t="s">
        <v>14</v>
      </c>
      <c r="D34">
        <v>1510</v>
      </c>
      <c r="E34">
        <v>915060</v>
      </c>
      <c r="F34">
        <v>623279</v>
      </c>
      <c r="G34" t="s">
        <v>13</v>
      </c>
      <c r="H34">
        <v>291781</v>
      </c>
      <c r="I34">
        <v>606</v>
      </c>
      <c r="J34">
        <v>412.76749999999998</v>
      </c>
    </row>
    <row r="35" spans="1:10" x14ac:dyDescent="0.25">
      <c r="A35">
        <v>2022</v>
      </c>
      <c r="B35" t="s">
        <v>17</v>
      </c>
      <c r="C35" t="s">
        <v>20</v>
      </c>
      <c r="D35">
        <v>721</v>
      </c>
      <c r="E35">
        <v>498932</v>
      </c>
      <c r="F35">
        <v>350075</v>
      </c>
      <c r="G35" t="s">
        <v>15</v>
      </c>
      <c r="H35">
        <v>148857</v>
      </c>
      <c r="I35">
        <v>692</v>
      </c>
      <c r="J35">
        <v>485.54090000000002</v>
      </c>
    </row>
    <row r="36" spans="1:10" x14ac:dyDescent="0.25">
      <c r="A36">
        <v>2018</v>
      </c>
      <c r="B36" t="s">
        <v>17</v>
      </c>
      <c r="C36" t="s">
        <v>8</v>
      </c>
      <c r="D36">
        <v>1307</v>
      </c>
      <c r="E36">
        <v>565931</v>
      </c>
      <c r="F36">
        <v>440407</v>
      </c>
      <c r="G36" t="s">
        <v>15</v>
      </c>
      <c r="H36">
        <v>125524</v>
      </c>
      <c r="I36">
        <v>433</v>
      </c>
      <c r="J36">
        <v>336.96019999999999</v>
      </c>
    </row>
    <row r="37" spans="1:10" x14ac:dyDescent="0.25">
      <c r="A37">
        <v>2019</v>
      </c>
      <c r="B37" t="s">
        <v>22</v>
      </c>
      <c r="C37" t="s">
        <v>23</v>
      </c>
      <c r="D37">
        <v>1182</v>
      </c>
      <c r="E37">
        <v>627642</v>
      </c>
      <c r="F37">
        <v>460653</v>
      </c>
      <c r="G37" t="s">
        <v>9</v>
      </c>
      <c r="H37">
        <v>166989</v>
      </c>
      <c r="I37">
        <v>531</v>
      </c>
      <c r="J37">
        <v>389.72340000000003</v>
      </c>
    </row>
    <row r="38" spans="1:10" x14ac:dyDescent="0.25">
      <c r="A38">
        <v>2018</v>
      </c>
      <c r="B38" t="s">
        <v>10</v>
      </c>
      <c r="C38" t="s">
        <v>19</v>
      </c>
      <c r="D38">
        <v>1172</v>
      </c>
      <c r="E38">
        <v>472316</v>
      </c>
      <c r="F38">
        <v>327326</v>
      </c>
      <c r="G38" t="s">
        <v>13</v>
      </c>
      <c r="H38">
        <v>144990</v>
      </c>
      <c r="I38">
        <v>403</v>
      </c>
      <c r="J38">
        <v>279.28840000000002</v>
      </c>
    </row>
    <row r="39" spans="1:10" x14ac:dyDescent="0.25">
      <c r="A39">
        <v>2023</v>
      </c>
      <c r="B39" t="s">
        <v>22</v>
      </c>
      <c r="C39" t="s">
        <v>20</v>
      </c>
      <c r="D39">
        <v>1878</v>
      </c>
      <c r="E39">
        <v>1226334</v>
      </c>
      <c r="F39">
        <v>903938</v>
      </c>
      <c r="G39" t="s">
        <v>13</v>
      </c>
      <c r="H39">
        <v>322396</v>
      </c>
      <c r="I39">
        <v>653</v>
      </c>
      <c r="J39">
        <v>481.33010000000002</v>
      </c>
    </row>
    <row r="40" spans="1:10" x14ac:dyDescent="0.25">
      <c r="A40">
        <v>2021</v>
      </c>
      <c r="B40" t="s">
        <v>12</v>
      </c>
      <c r="C40" t="s">
        <v>11</v>
      </c>
      <c r="D40">
        <v>345</v>
      </c>
      <c r="E40">
        <v>216660</v>
      </c>
      <c r="F40">
        <v>140096</v>
      </c>
      <c r="G40" t="s">
        <v>13</v>
      </c>
      <c r="H40">
        <v>76564</v>
      </c>
      <c r="I40">
        <v>628</v>
      </c>
      <c r="J40">
        <v>406.0754</v>
      </c>
    </row>
    <row r="41" spans="1:10" x14ac:dyDescent="0.25">
      <c r="A41">
        <v>2018</v>
      </c>
      <c r="B41" t="s">
        <v>16</v>
      </c>
      <c r="C41" t="s">
        <v>14</v>
      </c>
      <c r="D41">
        <v>762</v>
      </c>
      <c r="E41">
        <v>330708</v>
      </c>
      <c r="F41">
        <v>232503</v>
      </c>
      <c r="G41" t="s">
        <v>15</v>
      </c>
      <c r="H41">
        <v>98205</v>
      </c>
      <c r="I41">
        <v>434</v>
      </c>
      <c r="J41">
        <v>305.12200000000001</v>
      </c>
    </row>
    <row r="42" spans="1:10" x14ac:dyDescent="0.25">
      <c r="A42">
        <v>2021</v>
      </c>
      <c r="B42" t="s">
        <v>7</v>
      </c>
      <c r="C42" t="s">
        <v>21</v>
      </c>
      <c r="D42">
        <v>1045</v>
      </c>
      <c r="E42">
        <v>524590</v>
      </c>
      <c r="F42">
        <v>344328</v>
      </c>
      <c r="G42" t="s">
        <v>13</v>
      </c>
      <c r="H42">
        <v>180262</v>
      </c>
      <c r="I42">
        <v>502</v>
      </c>
      <c r="J42">
        <v>329.50049999999999</v>
      </c>
    </row>
    <row r="43" spans="1:10" x14ac:dyDescent="0.25">
      <c r="A43">
        <v>2019</v>
      </c>
      <c r="B43" t="s">
        <v>17</v>
      </c>
      <c r="C43" t="s">
        <v>24</v>
      </c>
      <c r="D43">
        <v>1371</v>
      </c>
      <c r="E43">
        <v>552513</v>
      </c>
      <c r="F43">
        <v>357532</v>
      </c>
      <c r="G43" t="s">
        <v>13</v>
      </c>
      <c r="H43">
        <v>194981</v>
      </c>
      <c r="I43">
        <v>403</v>
      </c>
      <c r="J43">
        <v>260.78190000000001</v>
      </c>
    </row>
    <row r="44" spans="1:10" x14ac:dyDescent="0.25">
      <c r="A44">
        <v>2021</v>
      </c>
      <c r="B44" t="s">
        <v>16</v>
      </c>
      <c r="C44" t="s">
        <v>23</v>
      </c>
      <c r="D44">
        <v>440</v>
      </c>
      <c r="E44">
        <v>229680</v>
      </c>
      <c r="F44">
        <v>159241</v>
      </c>
      <c r="G44" t="s">
        <v>15</v>
      </c>
      <c r="H44">
        <v>70439</v>
      </c>
      <c r="I44">
        <v>522</v>
      </c>
      <c r="J44">
        <v>361.91140000000001</v>
      </c>
    </row>
    <row r="45" spans="1:10" x14ac:dyDescent="0.25">
      <c r="A45">
        <v>2023</v>
      </c>
      <c r="B45" t="s">
        <v>10</v>
      </c>
      <c r="C45" t="s">
        <v>8</v>
      </c>
      <c r="D45">
        <v>1964</v>
      </c>
      <c r="E45">
        <v>1339448</v>
      </c>
      <c r="F45">
        <v>927282</v>
      </c>
      <c r="G45" t="s">
        <v>13</v>
      </c>
      <c r="H45">
        <v>412166</v>
      </c>
      <c r="I45">
        <v>682</v>
      </c>
      <c r="J45">
        <v>472.1395</v>
      </c>
    </row>
    <row r="46" spans="1:10" x14ac:dyDescent="0.25">
      <c r="A46">
        <v>2021</v>
      </c>
      <c r="B46" t="s">
        <v>16</v>
      </c>
      <c r="C46" t="s">
        <v>21</v>
      </c>
      <c r="D46">
        <v>1418</v>
      </c>
      <c r="E46">
        <v>808260</v>
      </c>
      <c r="F46">
        <v>499841</v>
      </c>
      <c r="G46" t="s">
        <v>9</v>
      </c>
      <c r="H46">
        <v>308419</v>
      </c>
      <c r="I46">
        <v>570</v>
      </c>
      <c r="J46">
        <v>352.49720000000002</v>
      </c>
    </row>
    <row r="47" spans="1:10" x14ac:dyDescent="0.25">
      <c r="A47">
        <v>2021</v>
      </c>
      <c r="B47" t="s">
        <v>22</v>
      </c>
      <c r="C47" t="s">
        <v>8</v>
      </c>
      <c r="D47">
        <v>1978</v>
      </c>
      <c r="E47">
        <v>1022626</v>
      </c>
      <c r="F47">
        <v>660263</v>
      </c>
      <c r="G47" t="s">
        <v>15</v>
      </c>
      <c r="H47">
        <v>362363</v>
      </c>
      <c r="I47">
        <v>517</v>
      </c>
      <c r="J47">
        <v>333.80329999999998</v>
      </c>
    </row>
    <row r="48" spans="1:10" x14ac:dyDescent="0.25">
      <c r="A48">
        <v>2019</v>
      </c>
      <c r="B48" t="s">
        <v>22</v>
      </c>
      <c r="C48" t="s">
        <v>14</v>
      </c>
      <c r="D48">
        <v>1154</v>
      </c>
      <c r="E48">
        <v>624314</v>
      </c>
      <c r="F48">
        <v>454245</v>
      </c>
      <c r="G48" t="s">
        <v>9</v>
      </c>
      <c r="H48">
        <v>170069</v>
      </c>
      <c r="I48">
        <v>541</v>
      </c>
      <c r="J48">
        <v>393.62650000000002</v>
      </c>
    </row>
    <row r="49" spans="1:10" x14ac:dyDescent="0.25">
      <c r="A49">
        <v>2020</v>
      </c>
      <c r="B49" t="s">
        <v>10</v>
      </c>
      <c r="C49" t="s">
        <v>14</v>
      </c>
      <c r="D49">
        <v>1775</v>
      </c>
      <c r="E49">
        <v>985125</v>
      </c>
      <c r="F49">
        <v>625406</v>
      </c>
      <c r="G49" t="s">
        <v>15</v>
      </c>
      <c r="H49">
        <v>359719</v>
      </c>
      <c r="I49">
        <v>555</v>
      </c>
      <c r="J49">
        <v>352.34140000000002</v>
      </c>
    </row>
    <row r="50" spans="1:10" x14ac:dyDescent="0.25">
      <c r="A50">
        <v>2023</v>
      </c>
      <c r="B50" t="s">
        <v>12</v>
      </c>
      <c r="C50" t="s">
        <v>19</v>
      </c>
      <c r="D50">
        <v>1676</v>
      </c>
      <c r="E50">
        <v>863140</v>
      </c>
      <c r="F50">
        <v>664020</v>
      </c>
      <c r="G50" t="s">
        <v>9</v>
      </c>
      <c r="H50">
        <v>199120</v>
      </c>
      <c r="I50">
        <v>515</v>
      </c>
      <c r="J50">
        <v>396.19330000000002</v>
      </c>
    </row>
    <row r="51" spans="1:10" x14ac:dyDescent="0.25">
      <c r="A51">
        <v>2023</v>
      </c>
      <c r="B51" t="s">
        <v>22</v>
      </c>
      <c r="C51" t="s">
        <v>24</v>
      </c>
      <c r="D51">
        <v>1178</v>
      </c>
      <c r="E51">
        <v>653790</v>
      </c>
      <c r="F51">
        <v>413767</v>
      </c>
      <c r="G51" t="s">
        <v>9</v>
      </c>
      <c r="H51">
        <v>240023</v>
      </c>
      <c r="I51">
        <v>555</v>
      </c>
      <c r="J51">
        <v>351.24529999999999</v>
      </c>
    </row>
    <row r="52" spans="1:10" x14ac:dyDescent="0.25">
      <c r="A52">
        <v>2019</v>
      </c>
      <c r="B52" t="s">
        <v>16</v>
      </c>
      <c r="C52" t="s">
        <v>24</v>
      </c>
      <c r="D52">
        <v>1289</v>
      </c>
      <c r="E52">
        <v>554270</v>
      </c>
      <c r="F52">
        <v>420544</v>
      </c>
      <c r="G52" t="s">
        <v>13</v>
      </c>
      <c r="H52">
        <v>133726</v>
      </c>
      <c r="I52">
        <v>430</v>
      </c>
      <c r="J52">
        <v>326.25599999999997</v>
      </c>
    </row>
    <row r="53" spans="1:10" x14ac:dyDescent="0.25">
      <c r="A53">
        <v>2021</v>
      </c>
      <c r="B53" t="s">
        <v>7</v>
      </c>
      <c r="C53" t="s">
        <v>14</v>
      </c>
      <c r="D53">
        <v>833</v>
      </c>
      <c r="E53">
        <v>536452</v>
      </c>
      <c r="F53">
        <v>358159</v>
      </c>
      <c r="G53" t="s">
        <v>9</v>
      </c>
      <c r="H53">
        <v>178293</v>
      </c>
      <c r="I53">
        <v>644</v>
      </c>
      <c r="J53">
        <v>429.96280000000002</v>
      </c>
    </row>
    <row r="54" spans="1:10" x14ac:dyDescent="0.25">
      <c r="A54">
        <v>2018</v>
      </c>
      <c r="B54" t="s">
        <v>10</v>
      </c>
      <c r="C54" t="s">
        <v>11</v>
      </c>
      <c r="D54">
        <v>1480</v>
      </c>
      <c r="E54">
        <v>751840</v>
      </c>
      <c r="F54">
        <v>510381</v>
      </c>
      <c r="G54" t="s">
        <v>13</v>
      </c>
      <c r="H54">
        <v>241459</v>
      </c>
      <c r="I54">
        <v>508</v>
      </c>
      <c r="J54">
        <v>344.85199999999998</v>
      </c>
    </row>
    <row r="55" spans="1:10" x14ac:dyDescent="0.25">
      <c r="A55">
        <v>2020</v>
      </c>
      <c r="B55" t="s">
        <v>7</v>
      </c>
      <c r="C55" t="s">
        <v>24</v>
      </c>
      <c r="D55">
        <v>910</v>
      </c>
      <c r="E55">
        <v>473200</v>
      </c>
      <c r="F55">
        <v>366271</v>
      </c>
      <c r="G55" t="s">
        <v>13</v>
      </c>
      <c r="H55">
        <v>106929</v>
      </c>
      <c r="I55">
        <v>520</v>
      </c>
      <c r="J55">
        <v>402.49560000000002</v>
      </c>
    </row>
    <row r="56" spans="1:10" x14ac:dyDescent="0.25">
      <c r="A56">
        <v>2019</v>
      </c>
      <c r="B56" t="s">
        <v>17</v>
      </c>
      <c r="C56" t="s">
        <v>19</v>
      </c>
      <c r="D56">
        <v>697</v>
      </c>
      <c r="E56">
        <v>356167</v>
      </c>
      <c r="F56">
        <v>247314</v>
      </c>
      <c r="G56" t="s">
        <v>15</v>
      </c>
      <c r="H56">
        <v>108853</v>
      </c>
      <c r="I56">
        <v>511</v>
      </c>
      <c r="J56">
        <v>354.82639999999998</v>
      </c>
    </row>
    <row r="57" spans="1:10" x14ac:dyDescent="0.25">
      <c r="A57">
        <v>2023</v>
      </c>
      <c r="B57" t="s">
        <v>17</v>
      </c>
      <c r="C57" t="s">
        <v>21</v>
      </c>
      <c r="D57">
        <v>1970</v>
      </c>
      <c r="E57">
        <v>1243070</v>
      </c>
      <c r="F57">
        <v>756806</v>
      </c>
      <c r="G57" t="s">
        <v>15</v>
      </c>
      <c r="H57">
        <v>486264</v>
      </c>
      <c r="I57">
        <v>631</v>
      </c>
      <c r="J57">
        <v>384.16550000000001</v>
      </c>
    </row>
    <row r="58" spans="1:10" x14ac:dyDescent="0.25">
      <c r="A58">
        <v>2020</v>
      </c>
      <c r="B58" t="s">
        <v>7</v>
      </c>
      <c r="C58" t="s">
        <v>20</v>
      </c>
      <c r="D58">
        <v>1532</v>
      </c>
      <c r="E58">
        <v>879368</v>
      </c>
      <c r="F58">
        <v>552654</v>
      </c>
      <c r="G58" t="s">
        <v>15</v>
      </c>
      <c r="H58">
        <v>326714</v>
      </c>
      <c r="I58">
        <v>574</v>
      </c>
      <c r="J58">
        <v>360.74020000000002</v>
      </c>
    </row>
    <row r="59" spans="1:10" x14ac:dyDescent="0.25">
      <c r="A59">
        <v>2019</v>
      </c>
      <c r="B59" t="s">
        <v>22</v>
      </c>
      <c r="C59" t="s">
        <v>18</v>
      </c>
      <c r="D59">
        <v>761</v>
      </c>
      <c r="E59">
        <v>412462</v>
      </c>
      <c r="F59">
        <v>325588</v>
      </c>
      <c r="G59" t="s">
        <v>9</v>
      </c>
      <c r="H59">
        <v>86874</v>
      </c>
      <c r="I59">
        <v>542</v>
      </c>
      <c r="J59">
        <v>427.84230000000002</v>
      </c>
    </row>
    <row r="60" spans="1:10" x14ac:dyDescent="0.25">
      <c r="A60">
        <v>2019</v>
      </c>
      <c r="B60" t="s">
        <v>17</v>
      </c>
      <c r="C60" t="s">
        <v>8</v>
      </c>
      <c r="D60">
        <v>1244</v>
      </c>
      <c r="E60">
        <v>760084</v>
      </c>
      <c r="F60">
        <v>549731</v>
      </c>
      <c r="G60" t="s">
        <v>15</v>
      </c>
      <c r="H60">
        <v>210353</v>
      </c>
      <c r="I60">
        <v>611</v>
      </c>
      <c r="J60">
        <v>441.90589999999997</v>
      </c>
    </row>
    <row r="61" spans="1:10" x14ac:dyDescent="0.25">
      <c r="A61">
        <v>2020</v>
      </c>
      <c r="B61" t="s">
        <v>7</v>
      </c>
      <c r="C61" t="s">
        <v>20</v>
      </c>
      <c r="D61">
        <v>586</v>
      </c>
      <c r="E61">
        <v>353944</v>
      </c>
      <c r="F61">
        <v>233644</v>
      </c>
      <c r="G61" t="s">
        <v>9</v>
      </c>
      <c r="H61">
        <v>120300</v>
      </c>
      <c r="I61">
        <v>604</v>
      </c>
      <c r="J61">
        <v>398.7099</v>
      </c>
    </row>
    <row r="62" spans="1:10" x14ac:dyDescent="0.25">
      <c r="A62">
        <v>2019</v>
      </c>
      <c r="B62" t="s">
        <v>12</v>
      </c>
      <c r="C62" t="s">
        <v>19</v>
      </c>
      <c r="D62">
        <v>749</v>
      </c>
      <c r="E62">
        <v>435918</v>
      </c>
      <c r="F62">
        <v>333117</v>
      </c>
      <c r="G62" t="s">
        <v>13</v>
      </c>
      <c r="H62">
        <v>102801</v>
      </c>
      <c r="I62">
        <v>582</v>
      </c>
      <c r="J62">
        <v>444.74900000000002</v>
      </c>
    </row>
    <row r="63" spans="1:10" x14ac:dyDescent="0.25">
      <c r="A63">
        <v>2021</v>
      </c>
      <c r="B63" t="s">
        <v>16</v>
      </c>
      <c r="C63" t="s">
        <v>24</v>
      </c>
      <c r="D63">
        <v>1582</v>
      </c>
      <c r="E63">
        <v>866936</v>
      </c>
      <c r="F63">
        <v>615554</v>
      </c>
      <c r="G63" t="s">
        <v>15</v>
      </c>
      <c r="H63">
        <v>251382</v>
      </c>
      <c r="I63">
        <v>548</v>
      </c>
      <c r="J63">
        <v>389.09859999999998</v>
      </c>
    </row>
    <row r="64" spans="1:10" x14ac:dyDescent="0.25">
      <c r="A64">
        <v>2019</v>
      </c>
      <c r="B64" t="s">
        <v>17</v>
      </c>
      <c r="C64" t="s">
        <v>14</v>
      </c>
      <c r="D64">
        <v>1712</v>
      </c>
      <c r="E64">
        <v>828608</v>
      </c>
      <c r="F64">
        <v>523637</v>
      </c>
      <c r="G64" t="s">
        <v>9</v>
      </c>
      <c r="H64">
        <v>304971</v>
      </c>
      <c r="I64">
        <v>484</v>
      </c>
      <c r="J64">
        <v>305.86270000000002</v>
      </c>
    </row>
    <row r="65" spans="1:10" x14ac:dyDescent="0.25">
      <c r="A65">
        <v>2023</v>
      </c>
      <c r="B65" t="s">
        <v>22</v>
      </c>
      <c r="C65" t="s">
        <v>21</v>
      </c>
      <c r="D65">
        <v>732</v>
      </c>
      <c r="E65">
        <v>371856</v>
      </c>
      <c r="F65">
        <v>283936</v>
      </c>
      <c r="G65" t="s">
        <v>9</v>
      </c>
      <c r="H65">
        <v>87920</v>
      </c>
      <c r="I65">
        <v>508</v>
      </c>
      <c r="J65">
        <v>387.89069999999998</v>
      </c>
    </row>
    <row r="66" spans="1:10" x14ac:dyDescent="0.25">
      <c r="A66">
        <v>2020</v>
      </c>
      <c r="B66" t="s">
        <v>10</v>
      </c>
      <c r="C66" t="s">
        <v>24</v>
      </c>
      <c r="D66">
        <v>983</v>
      </c>
      <c r="E66">
        <v>567191</v>
      </c>
      <c r="F66">
        <v>389996</v>
      </c>
      <c r="G66" t="s">
        <v>13</v>
      </c>
      <c r="H66">
        <v>177195</v>
      </c>
      <c r="I66">
        <v>577</v>
      </c>
      <c r="J66">
        <v>396.74059999999997</v>
      </c>
    </row>
    <row r="67" spans="1:10" x14ac:dyDescent="0.25">
      <c r="A67">
        <v>2021</v>
      </c>
      <c r="B67" t="s">
        <v>10</v>
      </c>
      <c r="C67" t="s">
        <v>24</v>
      </c>
      <c r="D67">
        <v>1890</v>
      </c>
      <c r="E67">
        <v>1016820</v>
      </c>
      <c r="F67">
        <v>644317</v>
      </c>
      <c r="G67" t="s">
        <v>9</v>
      </c>
      <c r="H67">
        <v>372503</v>
      </c>
      <c r="I67">
        <v>538</v>
      </c>
      <c r="J67">
        <v>340.9085</v>
      </c>
    </row>
    <row r="68" spans="1:10" x14ac:dyDescent="0.25">
      <c r="A68">
        <v>2021</v>
      </c>
      <c r="B68" t="s">
        <v>16</v>
      </c>
      <c r="C68" t="s">
        <v>21</v>
      </c>
      <c r="D68">
        <v>345</v>
      </c>
      <c r="E68">
        <v>202170</v>
      </c>
      <c r="F68">
        <v>122428</v>
      </c>
      <c r="G68" t="s">
        <v>9</v>
      </c>
      <c r="H68">
        <v>79742</v>
      </c>
      <c r="I68">
        <v>586</v>
      </c>
      <c r="J68">
        <v>354.86380000000003</v>
      </c>
    </row>
    <row r="69" spans="1:10" x14ac:dyDescent="0.25">
      <c r="A69">
        <v>2018</v>
      </c>
      <c r="B69" t="s">
        <v>16</v>
      </c>
      <c r="C69" t="s">
        <v>18</v>
      </c>
      <c r="D69">
        <v>283</v>
      </c>
      <c r="E69">
        <v>163857</v>
      </c>
      <c r="F69">
        <v>115578</v>
      </c>
      <c r="G69" t="s">
        <v>15</v>
      </c>
      <c r="H69">
        <v>48279</v>
      </c>
      <c r="I69">
        <v>579</v>
      </c>
      <c r="J69">
        <v>408.40280000000001</v>
      </c>
    </row>
    <row r="70" spans="1:10" x14ac:dyDescent="0.25">
      <c r="A70">
        <v>2021</v>
      </c>
      <c r="B70" t="s">
        <v>10</v>
      </c>
      <c r="C70" t="s">
        <v>21</v>
      </c>
      <c r="D70">
        <v>976</v>
      </c>
      <c r="E70">
        <v>672464</v>
      </c>
      <c r="F70">
        <v>448884</v>
      </c>
      <c r="G70" t="s">
        <v>15</v>
      </c>
      <c r="H70">
        <v>223580</v>
      </c>
      <c r="I70">
        <v>689</v>
      </c>
      <c r="J70">
        <v>459.9221</v>
      </c>
    </row>
    <row r="71" spans="1:10" x14ac:dyDescent="0.25">
      <c r="A71">
        <v>2022</v>
      </c>
      <c r="B71" t="s">
        <v>16</v>
      </c>
      <c r="C71" t="s">
        <v>19</v>
      </c>
      <c r="D71">
        <v>602</v>
      </c>
      <c r="E71">
        <v>258860</v>
      </c>
      <c r="F71">
        <v>158336</v>
      </c>
      <c r="G71" t="s">
        <v>15</v>
      </c>
      <c r="H71">
        <v>100524</v>
      </c>
      <c r="I71">
        <v>430</v>
      </c>
      <c r="J71">
        <v>263.01659999999998</v>
      </c>
    </row>
    <row r="72" spans="1:10" x14ac:dyDescent="0.25">
      <c r="A72">
        <v>2018</v>
      </c>
      <c r="B72" t="s">
        <v>7</v>
      </c>
      <c r="C72" t="s">
        <v>8</v>
      </c>
      <c r="D72">
        <v>1087</v>
      </c>
      <c r="E72">
        <v>707637</v>
      </c>
      <c r="F72">
        <v>458661</v>
      </c>
      <c r="G72" t="s">
        <v>13</v>
      </c>
      <c r="H72">
        <v>248976</v>
      </c>
      <c r="I72">
        <v>651</v>
      </c>
      <c r="J72">
        <v>421.95119999999997</v>
      </c>
    </row>
    <row r="73" spans="1:10" x14ac:dyDescent="0.25">
      <c r="A73">
        <v>2020</v>
      </c>
      <c r="B73" t="s">
        <v>7</v>
      </c>
      <c r="C73" t="s">
        <v>8</v>
      </c>
      <c r="D73">
        <v>1727</v>
      </c>
      <c r="E73">
        <v>1093191</v>
      </c>
      <c r="F73">
        <v>819017</v>
      </c>
      <c r="G73" t="s">
        <v>15</v>
      </c>
      <c r="H73">
        <v>274174</v>
      </c>
      <c r="I73">
        <v>633</v>
      </c>
      <c r="J73">
        <v>474.24259999999998</v>
      </c>
    </row>
    <row r="74" spans="1:10" x14ac:dyDescent="0.25">
      <c r="A74">
        <v>2021</v>
      </c>
      <c r="B74" t="s">
        <v>12</v>
      </c>
      <c r="C74" t="s">
        <v>20</v>
      </c>
      <c r="D74">
        <v>411</v>
      </c>
      <c r="E74">
        <v>175497</v>
      </c>
      <c r="F74">
        <v>121056</v>
      </c>
      <c r="G74" t="s">
        <v>9</v>
      </c>
      <c r="H74">
        <v>54441</v>
      </c>
      <c r="I74">
        <v>427</v>
      </c>
      <c r="J74">
        <v>294.5401</v>
      </c>
    </row>
    <row r="75" spans="1:10" x14ac:dyDescent="0.25">
      <c r="A75">
        <v>2023</v>
      </c>
      <c r="B75" t="s">
        <v>10</v>
      </c>
      <c r="C75" t="s">
        <v>23</v>
      </c>
      <c r="D75">
        <v>1956</v>
      </c>
      <c r="E75">
        <v>1228368</v>
      </c>
      <c r="F75">
        <v>907486</v>
      </c>
      <c r="G75" t="s">
        <v>15</v>
      </c>
      <c r="H75">
        <v>320882</v>
      </c>
      <c r="I75">
        <v>628</v>
      </c>
      <c r="J75">
        <v>463.94990000000001</v>
      </c>
    </row>
    <row r="76" spans="1:10" x14ac:dyDescent="0.25">
      <c r="A76">
        <v>2021</v>
      </c>
      <c r="B76" t="s">
        <v>10</v>
      </c>
      <c r="C76" t="s">
        <v>19</v>
      </c>
      <c r="D76">
        <v>781</v>
      </c>
      <c r="E76">
        <v>392062</v>
      </c>
      <c r="F76">
        <v>265620</v>
      </c>
      <c r="G76" t="s">
        <v>15</v>
      </c>
      <c r="H76">
        <v>126442</v>
      </c>
      <c r="I76">
        <v>502</v>
      </c>
      <c r="J76">
        <v>340.10239999999999</v>
      </c>
    </row>
    <row r="77" spans="1:10" x14ac:dyDescent="0.25">
      <c r="A77">
        <v>2019</v>
      </c>
      <c r="B77" t="s">
        <v>12</v>
      </c>
      <c r="C77" t="s">
        <v>19</v>
      </c>
      <c r="D77">
        <v>1087</v>
      </c>
      <c r="E77">
        <v>465236</v>
      </c>
      <c r="F77">
        <v>313181</v>
      </c>
      <c r="G77" t="s">
        <v>13</v>
      </c>
      <c r="H77">
        <v>152055</v>
      </c>
      <c r="I77">
        <v>428</v>
      </c>
      <c r="J77">
        <v>288.11500000000001</v>
      </c>
    </row>
    <row r="78" spans="1:10" x14ac:dyDescent="0.25">
      <c r="A78">
        <v>2022</v>
      </c>
      <c r="B78" t="s">
        <v>12</v>
      </c>
      <c r="C78" t="s">
        <v>20</v>
      </c>
      <c r="D78">
        <v>1298</v>
      </c>
      <c r="E78">
        <v>880044</v>
      </c>
      <c r="F78">
        <v>642261</v>
      </c>
      <c r="G78" t="s">
        <v>15</v>
      </c>
      <c r="H78">
        <v>237783</v>
      </c>
      <c r="I78">
        <v>678</v>
      </c>
      <c r="J78">
        <v>494.8082</v>
      </c>
    </row>
    <row r="79" spans="1:10" x14ac:dyDescent="0.25">
      <c r="A79">
        <v>2023</v>
      </c>
      <c r="B79" t="s">
        <v>16</v>
      </c>
      <c r="C79" t="s">
        <v>11</v>
      </c>
      <c r="D79">
        <v>1617</v>
      </c>
      <c r="E79">
        <v>975051</v>
      </c>
      <c r="F79">
        <v>698697</v>
      </c>
      <c r="G79" t="s">
        <v>13</v>
      </c>
      <c r="H79">
        <v>276354</v>
      </c>
      <c r="I79">
        <v>603</v>
      </c>
      <c r="J79">
        <v>432.09460000000001</v>
      </c>
    </row>
    <row r="80" spans="1:10" x14ac:dyDescent="0.25">
      <c r="A80">
        <v>2018</v>
      </c>
      <c r="B80" t="s">
        <v>22</v>
      </c>
      <c r="C80" t="s">
        <v>11</v>
      </c>
      <c r="D80">
        <v>307</v>
      </c>
      <c r="E80">
        <v>184200</v>
      </c>
      <c r="F80">
        <v>128345</v>
      </c>
      <c r="G80" t="s">
        <v>15</v>
      </c>
      <c r="H80">
        <v>55855</v>
      </c>
      <c r="I80">
        <v>600</v>
      </c>
      <c r="J80">
        <v>418.06189999999998</v>
      </c>
    </row>
    <row r="81" spans="1:10" x14ac:dyDescent="0.25">
      <c r="A81">
        <v>2020</v>
      </c>
      <c r="B81" t="s">
        <v>7</v>
      </c>
      <c r="C81" t="s">
        <v>23</v>
      </c>
      <c r="D81">
        <v>1733</v>
      </c>
      <c r="E81">
        <v>941019</v>
      </c>
      <c r="F81">
        <v>732983</v>
      </c>
      <c r="G81" t="s">
        <v>15</v>
      </c>
      <c r="H81">
        <v>208036</v>
      </c>
      <c r="I81">
        <v>543</v>
      </c>
      <c r="J81">
        <v>422.95609999999999</v>
      </c>
    </row>
    <row r="82" spans="1:10" x14ac:dyDescent="0.25">
      <c r="A82">
        <v>2019</v>
      </c>
      <c r="B82" t="s">
        <v>12</v>
      </c>
      <c r="C82" t="s">
        <v>21</v>
      </c>
      <c r="D82">
        <v>1550</v>
      </c>
      <c r="E82">
        <v>844750</v>
      </c>
      <c r="F82">
        <v>543979</v>
      </c>
      <c r="G82" t="s">
        <v>9</v>
      </c>
      <c r="H82">
        <v>300771</v>
      </c>
      <c r="I82">
        <v>545</v>
      </c>
      <c r="J82">
        <v>350.95420000000001</v>
      </c>
    </row>
    <row r="83" spans="1:10" x14ac:dyDescent="0.25">
      <c r="A83">
        <v>2022</v>
      </c>
      <c r="B83" t="s">
        <v>10</v>
      </c>
      <c r="C83" t="s">
        <v>20</v>
      </c>
      <c r="D83">
        <v>907</v>
      </c>
      <c r="E83">
        <v>539665</v>
      </c>
      <c r="F83">
        <v>338066</v>
      </c>
      <c r="G83" t="s">
        <v>15</v>
      </c>
      <c r="H83">
        <v>201599</v>
      </c>
      <c r="I83">
        <v>595</v>
      </c>
      <c r="J83">
        <v>372.72989999999999</v>
      </c>
    </row>
    <row r="84" spans="1:10" x14ac:dyDescent="0.25">
      <c r="A84">
        <v>2021</v>
      </c>
      <c r="B84" t="s">
        <v>7</v>
      </c>
      <c r="C84" t="s">
        <v>24</v>
      </c>
      <c r="D84">
        <v>1122</v>
      </c>
      <c r="E84">
        <v>615978</v>
      </c>
      <c r="F84">
        <v>429247</v>
      </c>
      <c r="G84" t="s">
        <v>9</v>
      </c>
      <c r="H84">
        <v>186731</v>
      </c>
      <c r="I84">
        <v>549</v>
      </c>
      <c r="J84">
        <v>382.57310000000001</v>
      </c>
    </row>
    <row r="85" spans="1:10" x14ac:dyDescent="0.25">
      <c r="A85">
        <v>2018</v>
      </c>
      <c r="B85" t="s">
        <v>16</v>
      </c>
      <c r="C85" t="s">
        <v>19</v>
      </c>
      <c r="D85">
        <v>1600</v>
      </c>
      <c r="E85">
        <v>1070400</v>
      </c>
      <c r="F85">
        <v>730474</v>
      </c>
      <c r="G85" t="s">
        <v>9</v>
      </c>
      <c r="H85">
        <v>339926</v>
      </c>
      <c r="I85">
        <v>669</v>
      </c>
      <c r="J85">
        <v>456.5462</v>
      </c>
    </row>
    <row r="86" spans="1:10" x14ac:dyDescent="0.25">
      <c r="A86">
        <v>2018</v>
      </c>
      <c r="B86" t="s">
        <v>12</v>
      </c>
      <c r="C86" t="s">
        <v>21</v>
      </c>
      <c r="D86">
        <v>992</v>
      </c>
      <c r="E86">
        <v>599168</v>
      </c>
      <c r="F86">
        <v>453291</v>
      </c>
      <c r="G86" t="s">
        <v>13</v>
      </c>
      <c r="H86">
        <v>145877</v>
      </c>
      <c r="I86">
        <v>604</v>
      </c>
      <c r="J86">
        <v>456.94659999999999</v>
      </c>
    </row>
    <row r="87" spans="1:10" x14ac:dyDescent="0.25">
      <c r="A87">
        <v>2022</v>
      </c>
      <c r="B87" t="s">
        <v>7</v>
      </c>
      <c r="C87" t="s">
        <v>23</v>
      </c>
      <c r="D87">
        <v>412</v>
      </c>
      <c r="E87">
        <v>227836</v>
      </c>
      <c r="F87">
        <v>180959</v>
      </c>
      <c r="G87" t="s">
        <v>9</v>
      </c>
      <c r="H87">
        <v>46877</v>
      </c>
      <c r="I87">
        <v>553</v>
      </c>
      <c r="J87">
        <v>439.22089999999997</v>
      </c>
    </row>
    <row r="88" spans="1:10" x14ac:dyDescent="0.25">
      <c r="A88">
        <v>2022</v>
      </c>
      <c r="B88" t="s">
        <v>12</v>
      </c>
      <c r="C88" t="s">
        <v>21</v>
      </c>
      <c r="D88">
        <v>1295</v>
      </c>
      <c r="E88">
        <v>611240</v>
      </c>
      <c r="F88">
        <v>469009</v>
      </c>
      <c r="G88" t="s">
        <v>15</v>
      </c>
      <c r="H88">
        <v>142231</v>
      </c>
      <c r="I88">
        <v>472</v>
      </c>
      <c r="J88">
        <v>362.16910000000001</v>
      </c>
    </row>
    <row r="89" spans="1:10" x14ac:dyDescent="0.25">
      <c r="A89">
        <v>2022</v>
      </c>
      <c r="B89" t="s">
        <v>22</v>
      </c>
      <c r="C89" t="s">
        <v>18</v>
      </c>
      <c r="D89">
        <v>806</v>
      </c>
      <c r="E89">
        <v>528736</v>
      </c>
      <c r="F89">
        <v>365702</v>
      </c>
      <c r="G89" t="s">
        <v>13</v>
      </c>
      <c r="H89">
        <v>163034</v>
      </c>
      <c r="I89">
        <v>656</v>
      </c>
      <c r="J89">
        <v>453.72460000000001</v>
      </c>
    </row>
    <row r="90" spans="1:10" x14ac:dyDescent="0.25">
      <c r="A90">
        <v>2019</v>
      </c>
      <c r="B90" t="s">
        <v>12</v>
      </c>
      <c r="C90" t="s">
        <v>19</v>
      </c>
      <c r="D90">
        <v>1285</v>
      </c>
      <c r="E90">
        <v>853240</v>
      </c>
      <c r="F90">
        <v>593955</v>
      </c>
      <c r="G90" t="s">
        <v>15</v>
      </c>
      <c r="H90">
        <v>259285</v>
      </c>
      <c r="I90">
        <v>664</v>
      </c>
      <c r="J90">
        <v>462.22179999999997</v>
      </c>
    </row>
    <row r="91" spans="1:10" x14ac:dyDescent="0.25">
      <c r="A91">
        <v>2019</v>
      </c>
      <c r="B91" t="s">
        <v>17</v>
      </c>
      <c r="C91" t="s">
        <v>19</v>
      </c>
      <c r="D91">
        <v>273</v>
      </c>
      <c r="E91">
        <v>157248</v>
      </c>
      <c r="F91">
        <v>116378</v>
      </c>
      <c r="G91" t="s">
        <v>15</v>
      </c>
      <c r="H91">
        <v>40870</v>
      </c>
      <c r="I91">
        <v>576</v>
      </c>
      <c r="J91">
        <v>426.29300000000001</v>
      </c>
    </row>
    <row r="92" spans="1:10" x14ac:dyDescent="0.25">
      <c r="A92">
        <v>2021</v>
      </c>
      <c r="B92" t="s">
        <v>22</v>
      </c>
      <c r="C92" t="s">
        <v>19</v>
      </c>
      <c r="D92">
        <v>1902</v>
      </c>
      <c r="E92">
        <v>1091748</v>
      </c>
      <c r="F92">
        <v>804002</v>
      </c>
      <c r="G92" t="s">
        <v>13</v>
      </c>
      <c r="H92">
        <v>287746</v>
      </c>
      <c r="I92">
        <v>574</v>
      </c>
      <c r="J92">
        <v>422.714</v>
      </c>
    </row>
    <row r="93" spans="1:10" x14ac:dyDescent="0.25">
      <c r="A93">
        <v>2019</v>
      </c>
      <c r="B93" t="s">
        <v>16</v>
      </c>
      <c r="C93" t="s">
        <v>23</v>
      </c>
      <c r="D93">
        <v>1973</v>
      </c>
      <c r="E93">
        <v>1148286</v>
      </c>
      <c r="F93">
        <v>723621</v>
      </c>
      <c r="G93" t="s">
        <v>9</v>
      </c>
      <c r="H93">
        <v>424665</v>
      </c>
      <c r="I93">
        <v>582</v>
      </c>
      <c r="J93">
        <v>366.76179999999999</v>
      </c>
    </row>
    <row r="94" spans="1:10" x14ac:dyDescent="0.25">
      <c r="A94">
        <v>2020</v>
      </c>
      <c r="B94" t="s">
        <v>22</v>
      </c>
      <c r="C94" t="s">
        <v>14</v>
      </c>
      <c r="D94">
        <v>1424</v>
      </c>
      <c r="E94">
        <v>737632</v>
      </c>
      <c r="F94">
        <v>556453</v>
      </c>
      <c r="G94" t="s">
        <v>13</v>
      </c>
      <c r="H94">
        <v>181179</v>
      </c>
      <c r="I94">
        <v>518</v>
      </c>
      <c r="J94">
        <v>390.76760000000002</v>
      </c>
    </row>
    <row r="95" spans="1:10" x14ac:dyDescent="0.25">
      <c r="A95">
        <v>2022</v>
      </c>
      <c r="B95" t="s">
        <v>22</v>
      </c>
      <c r="C95" t="s">
        <v>14</v>
      </c>
      <c r="D95">
        <v>744</v>
      </c>
      <c r="E95">
        <v>382416</v>
      </c>
      <c r="F95">
        <v>251641</v>
      </c>
      <c r="G95" t="s">
        <v>15</v>
      </c>
      <c r="H95">
        <v>130775</v>
      </c>
      <c r="I95">
        <v>514</v>
      </c>
      <c r="J95">
        <v>338.22719999999998</v>
      </c>
    </row>
    <row r="96" spans="1:10" x14ac:dyDescent="0.25">
      <c r="A96">
        <v>2020</v>
      </c>
      <c r="B96" t="s">
        <v>16</v>
      </c>
      <c r="C96" t="s">
        <v>24</v>
      </c>
      <c r="D96">
        <v>1191</v>
      </c>
      <c r="E96">
        <v>528804</v>
      </c>
      <c r="F96">
        <v>348725</v>
      </c>
      <c r="G96" t="s">
        <v>9</v>
      </c>
      <c r="H96">
        <v>180079</v>
      </c>
      <c r="I96">
        <v>444</v>
      </c>
      <c r="J96">
        <v>292.80020000000002</v>
      </c>
    </row>
    <row r="97" spans="1:10" x14ac:dyDescent="0.25">
      <c r="A97">
        <v>2019</v>
      </c>
      <c r="B97" t="s">
        <v>12</v>
      </c>
      <c r="C97" t="s">
        <v>18</v>
      </c>
      <c r="D97">
        <v>1384</v>
      </c>
      <c r="E97">
        <v>632488</v>
      </c>
      <c r="F97">
        <v>413811</v>
      </c>
      <c r="G97" t="s">
        <v>15</v>
      </c>
      <c r="H97">
        <v>218677</v>
      </c>
      <c r="I97">
        <v>457</v>
      </c>
      <c r="J97">
        <v>298.99639999999999</v>
      </c>
    </row>
    <row r="98" spans="1:10" x14ac:dyDescent="0.25">
      <c r="A98">
        <v>2021</v>
      </c>
      <c r="B98" t="s">
        <v>10</v>
      </c>
      <c r="C98" t="s">
        <v>18</v>
      </c>
      <c r="D98">
        <v>635</v>
      </c>
      <c r="E98">
        <v>304165</v>
      </c>
      <c r="F98">
        <v>195531</v>
      </c>
      <c r="G98" t="s">
        <v>9</v>
      </c>
      <c r="H98">
        <v>108634</v>
      </c>
      <c r="I98">
        <v>479</v>
      </c>
      <c r="J98">
        <v>307.9228</v>
      </c>
    </row>
    <row r="99" spans="1:10" x14ac:dyDescent="0.25">
      <c r="A99">
        <v>2018</v>
      </c>
      <c r="B99" t="s">
        <v>10</v>
      </c>
      <c r="C99" t="s">
        <v>19</v>
      </c>
      <c r="D99">
        <v>1071</v>
      </c>
      <c r="E99">
        <v>636174</v>
      </c>
      <c r="F99">
        <v>476783</v>
      </c>
      <c r="G99" t="s">
        <v>15</v>
      </c>
      <c r="H99">
        <v>159391</v>
      </c>
      <c r="I99">
        <v>594</v>
      </c>
      <c r="J99">
        <v>445.1755</v>
      </c>
    </row>
    <row r="100" spans="1:10" x14ac:dyDescent="0.25">
      <c r="A100">
        <v>2023</v>
      </c>
      <c r="B100" t="s">
        <v>22</v>
      </c>
      <c r="C100" t="s">
        <v>8</v>
      </c>
      <c r="D100">
        <v>810</v>
      </c>
      <c r="E100">
        <v>549180</v>
      </c>
      <c r="F100">
        <v>356413</v>
      </c>
      <c r="G100" t="s">
        <v>15</v>
      </c>
      <c r="H100">
        <v>192767</v>
      </c>
      <c r="I100">
        <v>678</v>
      </c>
      <c r="J100">
        <v>440.01600000000002</v>
      </c>
    </row>
    <row r="101" spans="1:10" x14ac:dyDescent="0.25">
      <c r="A101">
        <v>2023</v>
      </c>
      <c r="B101" t="s">
        <v>16</v>
      </c>
      <c r="C101" t="s">
        <v>11</v>
      </c>
      <c r="D101">
        <v>414</v>
      </c>
      <c r="E101">
        <v>178020</v>
      </c>
      <c r="F101">
        <v>132559</v>
      </c>
      <c r="G101" t="s">
        <v>9</v>
      </c>
      <c r="H101">
        <v>45461</v>
      </c>
      <c r="I101">
        <v>430</v>
      </c>
      <c r="J101">
        <v>320.19080000000002</v>
      </c>
    </row>
    <row r="102" spans="1:10" x14ac:dyDescent="0.25">
      <c r="A102">
        <v>2023</v>
      </c>
      <c r="B102" t="s">
        <v>22</v>
      </c>
      <c r="C102" t="s">
        <v>21</v>
      </c>
      <c r="D102">
        <v>291</v>
      </c>
      <c r="E102">
        <v>134151</v>
      </c>
      <c r="F102">
        <v>106292</v>
      </c>
      <c r="G102" t="s">
        <v>9</v>
      </c>
      <c r="H102">
        <v>27859</v>
      </c>
      <c r="I102">
        <v>461</v>
      </c>
      <c r="J102">
        <v>365.26459999999997</v>
      </c>
    </row>
    <row r="103" spans="1:10" x14ac:dyDescent="0.25">
      <c r="A103">
        <v>2019</v>
      </c>
      <c r="B103" t="s">
        <v>22</v>
      </c>
      <c r="C103" t="s">
        <v>11</v>
      </c>
      <c r="D103">
        <v>806</v>
      </c>
      <c r="E103">
        <v>324818</v>
      </c>
      <c r="F103">
        <v>242321</v>
      </c>
      <c r="G103" t="s">
        <v>9</v>
      </c>
      <c r="H103">
        <v>82497</v>
      </c>
      <c r="I103">
        <v>403</v>
      </c>
      <c r="J103">
        <v>300.64640000000003</v>
      </c>
    </row>
    <row r="104" spans="1:10" x14ac:dyDescent="0.25">
      <c r="A104">
        <v>2022</v>
      </c>
      <c r="B104" t="s">
        <v>17</v>
      </c>
      <c r="C104" t="s">
        <v>21</v>
      </c>
      <c r="D104">
        <v>1685</v>
      </c>
      <c r="E104">
        <v>844185</v>
      </c>
      <c r="F104">
        <v>634740</v>
      </c>
      <c r="G104" t="s">
        <v>9</v>
      </c>
      <c r="H104">
        <v>209445</v>
      </c>
      <c r="I104">
        <v>501</v>
      </c>
      <c r="J104">
        <v>376.70030000000003</v>
      </c>
    </row>
    <row r="105" spans="1:10" x14ac:dyDescent="0.25">
      <c r="A105">
        <v>2018</v>
      </c>
      <c r="B105" t="s">
        <v>17</v>
      </c>
      <c r="C105" t="s">
        <v>14</v>
      </c>
      <c r="D105">
        <v>1827</v>
      </c>
      <c r="E105">
        <v>1222263</v>
      </c>
      <c r="F105">
        <v>844389</v>
      </c>
      <c r="G105" t="s">
        <v>13</v>
      </c>
      <c r="H105">
        <v>377874</v>
      </c>
      <c r="I105">
        <v>669</v>
      </c>
      <c r="J105">
        <v>462.17239999999998</v>
      </c>
    </row>
    <row r="106" spans="1:10" x14ac:dyDescent="0.25">
      <c r="A106">
        <v>2018</v>
      </c>
      <c r="B106" t="s">
        <v>10</v>
      </c>
      <c r="C106" t="s">
        <v>11</v>
      </c>
      <c r="D106">
        <v>345</v>
      </c>
      <c r="E106">
        <v>190095</v>
      </c>
      <c r="F106">
        <v>138042</v>
      </c>
      <c r="G106" t="s">
        <v>13</v>
      </c>
      <c r="H106">
        <v>52053</v>
      </c>
      <c r="I106">
        <v>551</v>
      </c>
      <c r="J106">
        <v>400.12169999999998</v>
      </c>
    </row>
    <row r="107" spans="1:10" x14ac:dyDescent="0.25">
      <c r="A107">
        <v>2019</v>
      </c>
      <c r="B107" t="s">
        <v>17</v>
      </c>
      <c r="C107" t="s">
        <v>23</v>
      </c>
      <c r="D107">
        <v>793</v>
      </c>
      <c r="E107">
        <v>478179</v>
      </c>
      <c r="F107">
        <v>307490</v>
      </c>
      <c r="G107" t="s">
        <v>9</v>
      </c>
      <c r="H107">
        <v>170689</v>
      </c>
      <c r="I107">
        <v>603</v>
      </c>
      <c r="J107">
        <v>387.75540000000001</v>
      </c>
    </row>
    <row r="108" spans="1:10" x14ac:dyDescent="0.25">
      <c r="A108">
        <v>2020</v>
      </c>
      <c r="B108" t="s">
        <v>7</v>
      </c>
      <c r="C108" t="s">
        <v>24</v>
      </c>
      <c r="D108">
        <v>1628</v>
      </c>
      <c r="E108">
        <v>1100528</v>
      </c>
      <c r="F108">
        <v>791688</v>
      </c>
      <c r="G108" t="s">
        <v>9</v>
      </c>
      <c r="H108">
        <v>308840</v>
      </c>
      <c r="I108">
        <v>676</v>
      </c>
      <c r="J108">
        <v>486.29480000000001</v>
      </c>
    </row>
    <row r="109" spans="1:10" x14ac:dyDescent="0.25">
      <c r="A109">
        <v>2019</v>
      </c>
      <c r="B109" t="s">
        <v>17</v>
      </c>
      <c r="C109" t="s">
        <v>23</v>
      </c>
      <c r="D109">
        <v>832</v>
      </c>
      <c r="E109">
        <v>337792</v>
      </c>
      <c r="F109">
        <v>224589</v>
      </c>
      <c r="G109" t="s">
        <v>15</v>
      </c>
      <c r="H109">
        <v>113203</v>
      </c>
      <c r="I109">
        <v>406</v>
      </c>
      <c r="J109">
        <v>269.93869999999998</v>
      </c>
    </row>
    <row r="110" spans="1:10" x14ac:dyDescent="0.25">
      <c r="A110">
        <v>2021</v>
      </c>
      <c r="B110" t="s">
        <v>22</v>
      </c>
      <c r="C110" t="s">
        <v>8</v>
      </c>
      <c r="D110">
        <v>377</v>
      </c>
      <c r="E110">
        <v>185484</v>
      </c>
      <c r="F110">
        <v>124856</v>
      </c>
      <c r="G110" t="s">
        <v>15</v>
      </c>
      <c r="H110">
        <v>60628</v>
      </c>
      <c r="I110">
        <v>492</v>
      </c>
      <c r="J110">
        <v>331.18299999999999</v>
      </c>
    </row>
    <row r="111" spans="1:10" x14ac:dyDescent="0.25">
      <c r="A111">
        <v>2021</v>
      </c>
      <c r="B111" t="s">
        <v>22</v>
      </c>
      <c r="C111" t="s">
        <v>19</v>
      </c>
      <c r="D111">
        <v>318</v>
      </c>
      <c r="E111">
        <v>196524</v>
      </c>
      <c r="F111">
        <v>147146</v>
      </c>
      <c r="G111" t="s">
        <v>13</v>
      </c>
      <c r="H111">
        <v>49378</v>
      </c>
      <c r="I111">
        <v>618</v>
      </c>
      <c r="J111">
        <v>462.72329999999999</v>
      </c>
    </row>
    <row r="112" spans="1:10" x14ac:dyDescent="0.25">
      <c r="A112">
        <v>2021</v>
      </c>
      <c r="B112" t="s">
        <v>16</v>
      </c>
      <c r="C112" t="s">
        <v>23</v>
      </c>
      <c r="D112">
        <v>530</v>
      </c>
      <c r="E112">
        <v>289910</v>
      </c>
      <c r="F112">
        <v>224008</v>
      </c>
      <c r="G112" t="s">
        <v>9</v>
      </c>
      <c r="H112">
        <v>65902</v>
      </c>
      <c r="I112">
        <v>547</v>
      </c>
      <c r="J112">
        <v>422.65660000000003</v>
      </c>
    </row>
    <row r="113" spans="1:10" x14ac:dyDescent="0.25">
      <c r="A113">
        <v>2018</v>
      </c>
      <c r="B113" t="s">
        <v>22</v>
      </c>
      <c r="C113" t="s">
        <v>24</v>
      </c>
      <c r="D113">
        <v>848</v>
      </c>
      <c r="E113">
        <v>362096</v>
      </c>
      <c r="F113">
        <v>226940</v>
      </c>
      <c r="G113" t="s">
        <v>13</v>
      </c>
      <c r="H113">
        <v>135156</v>
      </c>
      <c r="I113">
        <v>427</v>
      </c>
      <c r="J113">
        <v>267.61790000000002</v>
      </c>
    </row>
    <row r="114" spans="1:10" x14ac:dyDescent="0.25">
      <c r="A114">
        <v>2020</v>
      </c>
      <c r="B114" t="s">
        <v>12</v>
      </c>
      <c r="C114" t="s">
        <v>18</v>
      </c>
      <c r="D114">
        <v>1661</v>
      </c>
      <c r="E114">
        <v>1102904</v>
      </c>
      <c r="F114">
        <v>781081</v>
      </c>
      <c r="G114" t="s">
        <v>9</v>
      </c>
      <c r="H114">
        <v>321823</v>
      </c>
      <c r="I114">
        <v>664</v>
      </c>
      <c r="J114">
        <v>470.24740000000003</v>
      </c>
    </row>
    <row r="115" spans="1:10" x14ac:dyDescent="0.25">
      <c r="A115">
        <v>2022</v>
      </c>
      <c r="B115" t="s">
        <v>10</v>
      </c>
      <c r="C115" t="s">
        <v>23</v>
      </c>
      <c r="D115">
        <v>954</v>
      </c>
      <c r="E115">
        <v>625824</v>
      </c>
      <c r="F115">
        <v>386296</v>
      </c>
      <c r="G115" t="s">
        <v>15</v>
      </c>
      <c r="H115">
        <v>239528</v>
      </c>
      <c r="I115">
        <v>656</v>
      </c>
      <c r="J115">
        <v>404.92239999999998</v>
      </c>
    </row>
    <row r="116" spans="1:10" x14ac:dyDescent="0.25">
      <c r="A116">
        <v>2022</v>
      </c>
      <c r="B116" t="s">
        <v>12</v>
      </c>
      <c r="C116" t="s">
        <v>11</v>
      </c>
      <c r="D116">
        <v>1085</v>
      </c>
      <c r="E116">
        <v>609770</v>
      </c>
      <c r="F116">
        <v>419620</v>
      </c>
      <c r="G116" t="s">
        <v>9</v>
      </c>
      <c r="H116">
        <v>190150</v>
      </c>
      <c r="I116">
        <v>562</v>
      </c>
      <c r="J116">
        <v>386.74650000000003</v>
      </c>
    </row>
    <row r="117" spans="1:10" x14ac:dyDescent="0.25">
      <c r="A117">
        <v>2021</v>
      </c>
      <c r="B117" t="s">
        <v>17</v>
      </c>
      <c r="C117" t="s">
        <v>18</v>
      </c>
      <c r="D117">
        <v>402</v>
      </c>
      <c r="E117">
        <v>194166</v>
      </c>
      <c r="F117">
        <v>143720</v>
      </c>
      <c r="G117" t="s">
        <v>13</v>
      </c>
      <c r="H117">
        <v>50446</v>
      </c>
      <c r="I117">
        <v>483</v>
      </c>
      <c r="J117">
        <v>357.51240000000001</v>
      </c>
    </row>
    <row r="118" spans="1:10" x14ac:dyDescent="0.25">
      <c r="A118">
        <v>2019</v>
      </c>
      <c r="B118" t="s">
        <v>16</v>
      </c>
      <c r="C118" t="s">
        <v>11</v>
      </c>
      <c r="D118">
        <v>474</v>
      </c>
      <c r="E118">
        <v>198606</v>
      </c>
      <c r="F118">
        <v>141917</v>
      </c>
      <c r="G118" t="s">
        <v>15</v>
      </c>
      <c r="H118">
        <v>56689</v>
      </c>
      <c r="I118">
        <v>419</v>
      </c>
      <c r="J118">
        <v>299.40300000000002</v>
      </c>
    </row>
    <row r="119" spans="1:10" x14ac:dyDescent="0.25">
      <c r="A119">
        <v>2018</v>
      </c>
      <c r="B119" t="s">
        <v>10</v>
      </c>
      <c r="C119" t="s">
        <v>20</v>
      </c>
      <c r="D119">
        <v>878</v>
      </c>
      <c r="E119">
        <v>592650</v>
      </c>
      <c r="F119">
        <v>373214</v>
      </c>
      <c r="G119" t="s">
        <v>13</v>
      </c>
      <c r="H119">
        <v>219436</v>
      </c>
      <c r="I119">
        <v>675</v>
      </c>
      <c r="J119">
        <v>425.0729</v>
      </c>
    </row>
    <row r="120" spans="1:10" x14ac:dyDescent="0.25">
      <c r="A120">
        <v>2018</v>
      </c>
      <c r="B120" t="s">
        <v>16</v>
      </c>
      <c r="C120" t="s">
        <v>23</v>
      </c>
      <c r="D120">
        <v>1868</v>
      </c>
      <c r="E120">
        <v>999380</v>
      </c>
      <c r="F120">
        <v>697903</v>
      </c>
      <c r="G120" t="s">
        <v>15</v>
      </c>
      <c r="H120">
        <v>301477</v>
      </c>
      <c r="I120">
        <v>535</v>
      </c>
      <c r="J120">
        <v>373.60969999999998</v>
      </c>
    </row>
    <row r="121" spans="1:10" x14ac:dyDescent="0.25">
      <c r="A121">
        <v>2022</v>
      </c>
      <c r="B121" t="s">
        <v>17</v>
      </c>
      <c r="C121" t="s">
        <v>14</v>
      </c>
      <c r="D121">
        <v>1601</v>
      </c>
      <c r="E121">
        <v>675622</v>
      </c>
      <c r="F121">
        <v>481784</v>
      </c>
      <c r="G121" t="s">
        <v>15</v>
      </c>
      <c r="H121">
        <v>193838</v>
      </c>
      <c r="I121">
        <v>422</v>
      </c>
      <c r="J121">
        <v>300.92689999999999</v>
      </c>
    </row>
    <row r="122" spans="1:10" x14ac:dyDescent="0.25">
      <c r="A122">
        <v>2023</v>
      </c>
      <c r="B122" t="s">
        <v>7</v>
      </c>
      <c r="C122" t="s">
        <v>21</v>
      </c>
      <c r="D122">
        <v>908</v>
      </c>
      <c r="E122">
        <v>631968</v>
      </c>
      <c r="F122">
        <v>448374</v>
      </c>
      <c r="G122" t="s">
        <v>15</v>
      </c>
      <c r="H122">
        <v>183594</v>
      </c>
      <c r="I122">
        <v>696</v>
      </c>
      <c r="J122">
        <v>493.80399999999997</v>
      </c>
    </row>
    <row r="123" spans="1:10" x14ac:dyDescent="0.25">
      <c r="A123">
        <v>2018</v>
      </c>
      <c r="B123" t="s">
        <v>10</v>
      </c>
      <c r="C123" t="s">
        <v>19</v>
      </c>
      <c r="D123">
        <v>1334</v>
      </c>
      <c r="E123">
        <v>724362</v>
      </c>
      <c r="F123">
        <v>539232</v>
      </c>
      <c r="G123" t="s">
        <v>13</v>
      </c>
      <c r="H123">
        <v>185130</v>
      </c>
      <c r="I123">
        <v>543</v>
      </c>
      <c r="J123">
        <v>404.22190000000001</v>
      </c>
    </row>
    <row r="124" spans="1:10" x14ac:dyDescent="0.25">
      <c r="A124">
        <v>2022</v>
      </c>
      <c r="B124" t="s">
        <v>7</v>
      </c>
      <c r="C124" t="s">
        <v>18</v>
      </c>
      <c r="D124">
        <v>989</v>
      </c>
      <c r="E124">
        <v>496478</v>
      </c>
      <c r="F124">
        <v>364600</v>
      </c>
      <c r="G124" t="s">
        <v>9</v>
      </c>
      <c r="H124">
        <v>131878</v>
      </c>
      <c r="I124">
        <v>502</v>
      </c>
      <c r="J124">
        <v>368.65519999999998</v>
      </c>
    </row>
    <row r="125" spans="1:10" x14ac:dyDescent="0.25">
      <c r="A125">
        <v>2023</v>
      </c>
      <c r="B125" t="s">
        <v>22</v>
      </c>
      <c r="C125" t="s">
        <v>14</v>
      </c>
      <c r="D125">
        <v>324</v>
      </c>
      <c r="E125">
        <v>169452</v>
      </c>
      <c r="F125">
        <v>125893</v>
      </c>
      <c r="G125" t="s">
        <v>9</v>
      </c>
      <c r="H125">
        <v>43559</v>
      </c>
      <c r="I125">
        <v>523</v>
      </c>
      <c r="J125">
        <v>388.55860000000001</v>
      </c>
    </row>
    <row r="126" spans="1:10" x14ac:dyDescent="0.25">
      <c r="A126">
        <v>2019</v>
      </c>
      <c r="B126" t="s">
        <v>7</v>
      </c>
      <c r="C126" t="s">
        <v>14</v>
      </c>
      <c r="D126">
        <v>1901</v>
      </c>
      <c r="E126">
        <v>880163</v>
      </c>
      <c r="F126">
        <v>625367</v>
      </c>
      <c r="G126" t="s">
        <v>15</v>
      </c>
      <c r="H126">
        <v>254796</v>
      </c>
      <c r="I126">
        <v>463</v>
      </c>
      <c r="J126">
        <v>328.9674</v>
      </c>
    </row>
    <row r="127" spans="1:10" x14ac:dyDescent="0.25">
      <c r="A127">
        <v>2023</v>
      </c>
      <c r="B127" t="s">
        <v>10</v>
      </c>
      <c r="C127" t="s">
        <v>14</v>
      </c>
      <c r="D127">
        <v>1893</v>
      </c>
      <c r="E127">
        <v>836706</v>
      </c>
      <c r="F127">
        <v>634723</v>
      </c>
      <c r="G127" t="s">
        <v>13</v>
      </c>
      <c r="H127">
        <v>201983</v>
      </c>
      <c r="I127">
        <v>442</v>
      </c>
      <c r="J127">
        <v>335.30009999999999</v>
      </c>
    </row>
    <row r="128" spans="1:10" x14ac:dyDescent="0.25">
      <c r="A128">
        <v>2023</v>
      </c>
      <c r="B128" t="s">
        <v>12</v>
      </c>
      <c r="C128" t="s">
        <v>21</v>
      </c>
      <c r="D128">
        <v>719</v>
      </c>
      <c r="E128">
        <v>357343</v>
      </c>
      <c r="F128">
        <v>264176</v>
      </c>
      <c r="G128" t="s">
        <v>9</v>
      </c>
      <c r="H128">
        <v>93167</v>
      </c>
      <c r="I128">
        <v>497</v>
      </c>
      <c r="J128">
        <v>367.42140000000001</v>
      </c>
    </row>
    <row r="129" spans="1:10" x14ac:dyDescent="0.25">
      <c r="A129">
        <v>2022</v>
      </c>
      <c r="B129" t="s">
        <v>10</v>
      </c>
      <c r="C129" t="s">
        <v>8</v>
      </c>
      <c r="D129">
        <v>292</v>
      </c>
      <c r="E129">
        <v>191260</v>
      </c>
      <c r="F129">
        <v>126909</v>
      </c>
      <c r="G129" t="s">
        <v>9</v>
      </c>
      <c r="H129">
        <v>64351</v>
      </c>
      <c r="I129">
        <v>655</v>
      </c>
      <c r="J129">
        <v>434.61989999999997</v>
      </c>
    </row>
    <row r="130" spans="1:10" x14ac:dyDescent="0.25">
      <c r="A130">
        <v>2021</v>
      </c>
      <c r="B130" t="s">
        <v>10</v>
      </c>
      <c r="C130" t="s">
        <v>23</v>
      </c>
      <c r="D130">
        <v>1819</v>
      </c>
      <c r="E130">
        <v>1120504</v>
      </c>
      <c r="F130">
        <v>890680</v>
      </c>
      <c r="G130" t="s">
        <v>13</v>
      </c>
      <c r="H130">
        <v>229824</v>
      </c>
      <c r="I130">
        <v>616</v>
      </c>
      <c r="J130">
        <v>489.65370000000001</v>
      </c>
    </row>
    <row r="131" spans="1:10" x14ac:dyDescent="0.25">
      <c r="A131">
        <v>2022</v>
      </c>
      <c r="B131" t="s">
        <v>16</v>
      </c>
      <c r="C131" t="s">
        <v>20</v>
      </c>
      <c r="D131">
        <v>1929</v>
      </c>
      <c r="E131">
        <v>941352</v>
      </c>
      <c r="F131">
        <v>677723</v>
      </c>
      <c r="G131" t="s">
        <v>9</v>
      </c>
      <c r="H131">
        <v>263629</v>
      </c>
      <c r="I131">
        <v>488</v>
      </c>
      <c r="J131">
        <v>351.33390000000003</v>
      </c>
    </row>
    <row r="132" spans="1:10" x14ac:dyDescent="0.25">
      <c r="A132">
        <v>2022</v>
      </c>
      <c r="B132" t="s">
        <v>7</v>
      </c>
      <c r="C132" t="s">
        <v>18</v>
      </c>
      <c r="D132">
        <v>1422</v>
      </c>
      <c r="E132">
        <v>715266</v>
      </c>
      <c r="F132">
        <v>472535</v>
      </c>
      <c r="G132" t="s">
        <v>13</v>
      </c>
      <c r="H132">
        <v>242731</v>
      </c>
      <c r="I132">
        <v>503</v>
      </c>
      <c r="J132">
        <v>332.30309999999997</v>
      </c>
    </row>
    <row r="133" spans="1:10" x14ac:dyDescent="0.25">
      <c r="A133">
        <v>2023</v>
      </c>
      <c r="B133" t="s">
        <v>22</v>
      </c>
      <c r="C133" t="s">
        <v>18</v>
      </c>
      <c r="D133">
        <v>1494</v>
      </c>
      <c r="E133">
        <v>851580</v>
      </c>
      <c r="F133">
        <v>525076</v>
      </c>
      <c r="G133" t="s">
        <v>15</v>
      </c>
      <c r="H133">
        <v>326504</v>
      </c>
      <c r="I133">
        <v>570</v>
      </c>
      <c r="J133">
        <v>351.45650000000001</v>
      </c>
    </row>
    <row r="134" spans="1:10" x14ac:dyDescent="0.25">
      <c r="A134">
        <v>2018</v>
      </c>
      <c r="B134" t="s">
        <v>7</v>
      </c>
      <c r="C134" t="s">
        <v>23</v>
      </c>
      <c r="D134">
        <v>498</v>
      </c>
      <c r="E134">
        <v>272904</v>
      </c>
      <c r="F134">
        <v>197941</v>
      </c>
      <c r="G134" t="s">
        <v>9</v>
      </c>
      <c r="H134">
        <v>74963</v>
      </c>
      <c r="I134">
        <v>548</v>
      </c>
      <c r="J134">
        <v>397.47190000000001</v>
      </c>
    </row>
    <row r="135" spans="1:10" x14ac:dyDescent="0.25">
      <c r="A135">
        <v>2020</v>
      </c>
      <c r="B135" t="s">
        <v>16</v>
      </c>
      <c r="C135" t="s">
        <v>21</v>
      </c>
      <c r="D135">
        <v>202</v>
      </c>
      <c r="E135">
        <v>94132</v>
      </c>
      <c r="F135">
        <v>59394</v>
      </c>
      <c r="G135" t="s">
        <v>15</v>
      </c>
      <c r="H135">
        <v>34738</v>
      </c>
      <c r="I135">
        <v>466</v>
      </c>
      <c r="J135">
        <v>294.02969999999999</v>
      </c>
    </row>
    <row r="136" spans="1:10" x14ac:dyDescent="0.25">
      <c r="A136">
        <v>2023</v>
      </c>
      <c r="B136" t="s">
        <v>22</v>
      </c>
      <c r="C136" t="s">
        <v>21</v>
      </c>
      <c r="D136">
        <v>1176</v>
      </c>
      <c r="E136">
        <v>751464</v>
      </c>
      <c r="F136">
        <v>451463</v>
      </c>
      <c r="G136" t="s">
        <v>13</v>
      </c>
      <c r="H136">
        <v>300001</v>
      </c>
      <c r="I136">
        <v>639</v>
      </c>
      <c r="J136">
        <v>383.89710000000002</v>
      </c>
    </row>
    <row r="137" spans="1:10" x14ac:dyDescent="0.25">
      <c r="A137">
        <v>2019</v>
      </c>
      <c r="B137" t="s">
        <v>12</v>
      </c>
      <c r="C137" t="s">
        <v>19</v>
      </c>
      <c r="D137">
        <v>949</v>
      </c>
      <c r="E137">
        <v>484939</v>
      </c>
      <c r="F137">
        <v>328160</v>
      </c>
      <c r="G137" t="s">
        <v>9</v>
      </c>
      <c r="H137">
        <v>156779</v>
      </c>
      <c r="I137">
        <v>511</v>
      </c>
      <c r="J137">
        <v>345.79559999999998</v>
      </c>
    </row>
    <row r="138" spans="1:10" x14ac:dyDescent="0.25">
      <c r="A138">
        <v>2019</v>
      </c>
      <c r="B138" t="s">
        <v>10</v>
      </c>
      <c r="C138" t="s">
        <v>11</v>
      </c>
      <c r="D138">
        <v>406</v>
      </c>
      <c r="E138">
        <v>248878</v>
      </c>
      <c r="F138">
        <v>183610</v>
      </c>
      <c r="G138" t="s">
        <v>13</v>
      </c>
      <c r="H138">
        <v>65268</v>
      </c>
      <c r="I138">
        <v>613</v>
      </c>
      <c r="J138">
        <v>452.2414</v>
      </c>
    </row>
    <row r="139" spans="1:10" x14ac:dyDescent="0.25">
      <c r="A139">
        <v>2020</v>
      </c>
      <c r="B139" t="s">
        <v>22</v>
      </c>
      <c r="C139" t="s">
        <v>18</v>
      </c>
      <c r="D139">
        <v>1364</v>
      </c>
      <c r="E139">
        <v>616528</v>
      </c>
      <c r="F139">
        <v>487095</v>
      </c>
      <c r="G139" t="s">
        <v>15</v>
      </c>
      <c r="H139">
        <v>129433</v>
      </c>
      <c r="I139">
        <v>452</v>
      </c>
      <c r="J139">
        <v>357.1078</v>
      </c>
    </row>
    <row r="140" spans="1:10" x14ac:dyDescent="0.25">
      <c r="A140">
        <v>2020</v>
      </c>
      <c r="B140" t="s">
        <v>17</v>
      </c>
      <c r="C140" t="s">
        <v>23</v>
      </c>
      <c r="D140">
        <v>1022</v>
      </c>
      <c r="E140">
        <v>520198</v>
      </c>
      <c r="F140">
        <v>358456</v>
      </c>
      <c r="G140" t="s">
        <v>13</v>
      </c>
      <c r="H140">
        <v>161742</v>
      </c>
      <c r="I140">
        <v>509</v>
      </c>
      <c r="J140">
        <v>350.73970000000003</v>
      </c>
    </row>
    <row r="141" spans="1:10" x14ac:dyDescent="0.25">
      <c r="A141">
        <v>2020</v>
      </c>
      <c r="B141" t="s">
        <v>22</v>
      </c>
      <c r="C141" t="s">
        <v>21</v>
      </c>
      <c r="D141">
        <v>386</v>
      </c>
      <c r="E141">
        <v>192614</v>
      </c>
      <c r="F141">
        <v>120436</v>
      </c>
      <c r="G141" t="s">
        <v>13</v>
      </c>
      <c r="H141">
        <v>72178</v>
      </c>
      <c r="I141">
        <v>499</v>
      </c>
      <c r="J141">
        <v>312.0104</v>
      </c>
    </row>
    <row r="142" spans="1:10" x14ac:dyDescent="0.25">
      <c r="A142">
        <v>2020</v>
      </c>
      <c r="B142" t="s">
        <v>16</v>
      </c>
      <c r="C142" t="s">
        <v>21</v>
      </c>
      <c r="D142">
        <v>1872</v>
      </c>
      <c r="E142">
        <v>823680</v>
      </c>
      <c r="F142">
        <v>605906</v>
      </c>
      <c r="G142" t="s">
        <v>9</v>
      </c>
      <c r="H142">
        <v>217774</v>
      </c>
      <c r="I142">
        <v>440</v>
      </c>
      <c r="J142">
        <v>323.66770000000002</v>
      </c>
    </row>
    <row r="143" spans="1:10" x14ac:dyDescent="0.25">
      <c r="A143">
        <v>2018</v>
      </c>
      <c r="B143" t="s">
        <v>17</v>
      </c>
      <c r="C143" t="s">
        <v>11</v>
      </c>
      <c r="D143">
        <v>1242</v>
      </c>
      <c r="E143">
        <v>787428</v>
      </c>
      <c r="F143">
        <v>585291</v>
      </c>
      <c r="G143" t="s">
        <v>13</v>
      </c>
      <c r="H143">
        <v>202137</v>
      </c>
      <c r="I143">
        <v>634</v>
      </c>
      <c r="J143">
        <v>471.24880000000002</v>
      </c>
    </row>
    <row r="144" spans="1:10" x14ac:dyDescent="0.25">
      <c r="A144">
        <v>2023</v>
      </c>
      <c r="B144" t="s">
        <v>12</v>
      </c>
      <c r="C144" t="s">
        <v>24</v>
      </c>
      <c r="D144">
        <v>305</v>
      </c>
      <c r="E144">
        <v>135420</v>
      </c>
      <c r="F144">
        <v>93960</v>
      </c>
      <c r="G144" t="s">
        <v>9</v>
      </c>
      <c r="H144">
        <v>41460</v>
      </c>
      <c r="I144">
        <v>444</v>
      </c>
      <c r="J144">
        <v>308.06560000000002</v>
      </c>
    </row>
    <row r="145" spans="1:10" x14ac:dyDescent="0.25">
      <c r="A145">
        <v>2018</v>
      </c>
      <c r="B145" t="s">
        <v>10</v>
      </c>
      <c r="C145" t="s">
        <v>14</v>
      </c>
      <c r="D145">
        <v>1285</v>
      </c>
      <c r="E145">
        <v>777425</v>
      </c>
      <c r="F145">
        <v>489789</v>
      </c>
      <c r="G145" t="s">
        <v>13</v>
      </c>
      <c r="H145">
        <v>287636</v>
      </c>
      <c r="I145">
        <v>605</v>
      </c>
      <c r="J145">
        <v>381.15879999999999</v>
      </c>
    </row>
    <row r="146" spans="1:10" x14ac:dyDescent="0.25">
      <c r="A146">
        <v>2018</v>
      </c>
      <c r="B146" t="s">
        <v>10</v>
      </c>
      <c r="C146" t="s">
        <v>21</v>
      </c>
      <c r="D146">
        <v>531</v>
      </c>
      <c r="E146">
        <v>336123</v>
      </c>
      <c r="F146">
        <v>261302</v>
      </c>
      <c r="G146" t="s">
        <v>13</v>
      </c>
      <c r="H146">
        <v>74821</v>
      </c>
      <c r="I146">
        <v>633</v>
      </c>
      <c r="J146">
        <v>492.0942</v>
      </c>
    </row>
    <row r="147" spans="1:10" x14ac:dyDescent="0.25">
      <c r="A147">
        <v>2018</v>
      </c>
      <c r="B147" t="s">
        <v>22</v>
      </c>
      <c r="C147" t="s">
        <v>14</v>
      </c>
      <c r="D147">
        <v>525</v>
      </c>
      <c r="E147">
        <v>220500</v>
      </c>
      <c r="F147">
        <v>138649</v>
      </c>
      <c r="G147" t="s">
        <v>15</v>
      </c>
      <c r="H147">
        <v>81851</v>
      </c>
      <c r="I147">
        <v>420</v>
      </c>
      <c r="J147">
        <v>264.0933</v>
      </c>
    </row>
    <row r="148" spans="1:10" x14ac:dyDescent="0.25">
      <c r="A148">
        <v>2022</v>
      </c>
      <c r="B148" t="s">
        <v>16</v>
      </c>
      <c r="C148" t="s">
        <v>18</v>
      </c>
      <c r="D148">
        <v>509</v>
      </c>
      <c r="E148">
        <v>277405</v>
      </c>
      <c r="F148">
        <v>172881</v>
      </c>
      <c r="G148" t="s">
        <v>9</v>
      </c>
      <c r="H148">
        <v>104524</v>
      </c>
      <c r="I148">
        <v>545</v>
      </c>
      <c r="J148">
        <v>339.64830000000001</v>
      </c>
    </row>
    <row r="149" spans="1:10" x14ac:dyDescent="0.25">
      <c r="A149">
        <v>2023</v>
      </c>
      <c r="B149" t="s">
        <v>12</v>
      </c>
      <c r="C149" t="s">
        <v>11</v>
      </c>
      <c r="D149">
        <v>335</v>
      </c>
      <c r="E149">
        <v>137685</v>
      </c>
      <c r="F149">
        <v>104516</v>
      </c>
      <c r="G149" t="s">
        <v>15</v>
      </c>
      <c r="H149">
        <v>33169</v>
      </c>
      <c r="I149">
        <v>411</v>
      </c>
      <c r="J149">
        <v>311.98809999999997</v>
      </c>
    </row>
    <row r="150" spans="1:10" x14ac:dyDescent="0.25">
      <c r="A150">
        <v>2022</v>
      </c>
      <c r="B150" t="s">
        <v>12</v>
      </c>
      <c r="C150" t="s">
        <v>18</v>
      </c>
      <c r="D150">
        <v>228</v>
      </c>
      <c r="E150">
        <v>117192</v>
      </c>
      <c r="F150">
        <v>84893</v>
      </c>
      <c r="G150" t="s">
        <v>13</v>
      </c>
      <c r="H150">
        <v>32299</v>
      </c>
      <c r="I150">
        <v>514</v>
      </c>
      <c r="J150">
        <v>372.33769999999998</v>
      </c>
    </row>
    <row r="151" spans="1:10" x14ac:dyDescent="0.25">
      <c r="A151">
        <v>2022</v>
      </c>
      <c r="B151" t="s">
        <v>16</v>
      </c>
      <c r="C151" t="s">
        <v>14</v>
      </c>
      <c r="D151">
        <v>1715</v>
      </c>
      <c r="E151">
        <v>1161055</v>
      </c>
      <c r="F151">
        <v>769191</v>
      </c>
      <c r="G151" t="s">
        <v>9</v>
      </c>
      <c r="H151">
        <v>391864</v>
      </c>
      <c r="I151">
        <v>677</v>
      </c>
      <c r="J151">
        <v>448.50790000000001</v>
      </c>
    </row>
    <row r="152" spans="1:10" x14ac:dyDescent="0.25">
      <c r="A152">
        <v>2020</v>
      </c>
      <c r="B152" t="s">
        <v>12</v>
      </c>
      <c r="C152" t="s">
        <v>8</v>
      </c>
      <c r="D152">
        <v>1094</v>
      </c>
      <c r="E152">
        <v>574350</v>
      </c>
      <c r="F152">
        <v>436472</v>
      </c>
      <c r="G152" t="s">
        <v>9</v>
      </c>
      <c r="H152">
        <v>137878</v>
      </c>
      <c r="I152">
        <v>525</v>
      </c>
      <c r="J152">
        <v>398.96890000000002</v>
      </c>
    </row>
    <row r="153" spans="1:10" x14ac:dyDescent="0.25">
      <c r="A153">
        <v>2022</v>
      </c>
      <c r="B153" t="s">
        <v>12</v>
      </c>
      <c r="C153" t="s">
        <v>18</v>
      </c>
      <c r="D153">
        <v>1497</v>
      </c>
      <c r="E153">
        <v>979038</v>
      </c>
      <c r="F153">
        <v>641144</v>
      </c>
      <c r="G153" t="s">
        <v>15</v>
      </c>
      <c r="H153">
        <v>337894</v>
      </c>
      <c r="I153">
        <v>654</v>
      </c>
      <c r="J153">
        <v>428.28590000000003</v>
      </c>
    </row>
    <row r="154" spans="1:10" x14ac:dyDescent="0.25">
      <c r="A154">
        <v>2019</v>
      </c>
      <c r="B154" t="s">
        <v>12</v>
      </c>
      <c r="C154" t="s">
        <v>11</v>
      </c>
      <c r="D154">
        <v>1340</v>
      </c>
      <c r="E154">
        <v>699480</v>
      </c>
      <c r="F154">
        <v>437753</v>
      </c>
      <c r="G154" t="s">
        <v>15</v>
      </c>
      <c r="H154">
        <v>261727</v>
      </c>
      <c r="I154">
        <v>522</v>
      </c>
      <c r="J154">
        <v>326.68130000000002</v>
      </c>
    </row>
    <row r="155" spans="1:10" x14ac:dyDescent="0.25">
      <c r="A155">
        <v>2020</v>
      </c>
      <c r="B155" t="s">
        <v>16</v>
      </c>
      <c r="C155" t="s">
        <v>19</v>
      </c>
      <c r="D155">
        <v>1510</v>
      </c>
      <c r="E155">
        <v>635710</v>
      </c>
      <c r="F155">
        <v>394357</v>
      </c>
      <c r="G155" t="s">
        <v>13</v>
      </c>
      <c r="H155">
        <v>241353</v>
      </c>
      <c r="I155">
        <v>421</v>
      </c>
      <c r="J155">
        <v>261.16359999999997</v>
      </c>
    </row>
    <row r="156" spans="1:10" x14ac:dyDescent="0.25">
      <c r="A156">
        <v>2022</v>
      </c>
      <c r="B156" t="s">
        <v>22</v>
      </c>
      <c r="C156" t="s">
        <v>19</v>
      </c>
      <c r="D156">
        <v>1515</v>
      </c>
      <c r="E156">
        <v>683265</v>
      </c>
      <c r="F156">
        <v>467012</v>
      </c>
      <c r="G156" t="s">
        <v>9</v>
      </c>
      <c r="H156">
        <v>216253</v>
      </c>
      <c r="I156">
        <v>451</v>
      </c>
      <c r="J156">
        <v>308.25869999999998</v>
      </c>
    </row>
    <row r="157" spans="1:10" x14ac:dyDescent="0.25">
      <c r="A157">
        <v>2022</v>
      </c>
      <c r="B157" t="s">
        <v>12</v>
      </c>
      <c r="C157" t="s">
        <v>23</v>
      </c>
      <c r="D157">
        <v>1417</v>
      </c>
      <c r="E157">
        <v>614978</v>
      </c>
      <c r="F157">
        <v>451050</v>
      </c>
      <c r="G157" t="s">
        <v>15</v>
      </c>
      <c r="H157">
        <v>163928</v>
      </c>
      <c r="I157">
        <v>434</v>
      </c>
      <c r="J157">
        <v>318.31330000000003</v>
      </c>
    </row>
    <row r="158" spans="1:10" x14ac:dyDescent="0.25">
      <c r="A158">
        <v>2019</v>
      </c>
      <c r="B158" t="s">
        <v>12</v>
      </c>
      <c r="C158" t="s">
        <v>11</v>
      </c>
      <c r="D158">
        <v>1227</v>
      </c>
      <c r="E158">
        <v>651537</v>
      </c>
      <c r="F158">
        <v>513339</v>
      </c>
      <c r="G158" t="s">
        <v>15</v>
      </c>
      <c r="H158">
        <v>138198</v>
      </c>
      <c r="I158">
        <v>531</v>
      </c>
      <c r="J158">
        <v>418.36919999999998</v>
      </c>
    </row>
    <row r="159" spans="1:10" x14ac:dyDescent="0.25">
      <c r="A159">
        <v>2022</v>
      </c>
      <c r="B159" t="s">
        <v>7</v>
      </c>
      <c r="C159" t="s">
        <v>21</v>
      </c>
      <c r="D159">
        <v>1728</v>
      </c>
      <c r="E159">
        <v>1069632</v>
      </c>
      <c r="F159">
        <v>777664</v>
      </c>
      <c r="G159" t="s">
        <v>13</v>
      </c>
      <c r="H159">
        <v>291968</v>
      </c>
      <c r="I159">
        <v>619</v>
      </c>
      <c r="J159">
        <v>450.03699999999998</v>
      </c>
    </row>
    <row r="160" spans="1:10" x14ac:dyDescent="0.25">
      <c r="A160">
        <v>2019</v>
      </c>
      <c r="B160" t="s">
        <v>16</v>
      </c>
      <c r="C160" t="s">
        <v>11</v>
      </c>
      <c r="D160">
        <v>434</v>
      </c>
      <c r="E160">
        <v>258230</v>
      </c>
      <c r="F160">
        <v>205008</v>
      </c>
      <c r="G160" t="s">
        <v>13</v>
      </c>
      <c r="H160">
        <v>53222</v>
      </c>
      <c r="I160">
        <v>595</v>
      </c>
      <c r="J160">
        <v>472.36869999999999</v>
      </c>
    </row>
    <row r="161" spans="1:10" x14ac:dyDescent="0.25">
      <c r="A161">
        <v>2021</v>
      </c>
      <c r="B161" t="s">
        <v>7</v>
      </c>
      <c r="C161" t="s">
        <v>20</v>
      </c>
      <c r="D161">
        <v>1904</v>
      </c>
      <c r="E161">
        <v>1292816</v>
      </c>
      <c r="F161">
        <v>1006507</v>
      </c>
      <c r="G161" t="s">
        <v>13</v>
      </c>
      <c r="H161">
        <v>286309</v>
      </c>
      <c r="I161">
        <v>679</v>
      </c>
      <c r="J161">
        <v>528.62760000000003</v>
      </c>
    </row>
    <row r="162" spans="1:10" x14ac:dyDescent="0.25">
      <c r="A162">
        <v>2020</v>
      </c>
      <c r="B162" t="s">
        <v>12</v>
      </c>
      <c r="C162" t="s">
        <v>23</v>
      </c>
      <c r="D162">
        <v>250</v>
      </c>
      <c r="E162">
        <v>126250</v>
      </c>
      <c r="F162">
        <v>79344</v>
      </c>
      <c r="G162" t="s">
        <v>9</v>
      </c>
      <c r="H162">
        <v>46906</v>
      </c>
      <c r="I162">
        <v>505</v>
      </c>
      <c r="J162">
        <v>317.37599999999998</v>
      </c>
    </row>
    <row r="163" spans="1:10" x14ac:dyDescent="0.25">
      <c r="A163">
        <v>2019</v>
      </c>
      <c r="B163" t="s">
        <v>16</v>
      </c>
      <c r="C163" t="s">
        <v>23</v>
      </c>
      <c r="D163">
        <v>284</v>
      </c>
      <c r="E163">
        <v>172388</v>
      </c>
      <c r="F163">
        <v>122088</v>
      </c>
      <c r="G163" t="s">
        <v>15</v>
      </c>
      <c r="H163">
        <v>50300</v>
      </c>
      <c r="I163">
        <v>607</v>
      </c>
      <c r="J163">
        <v>429.88729999999998</v>
      </c>
    </row>
    <row r="164" spans="1:10" x14ac:dyDescent="0.25">
      <c r="A164">
        <v>2021</v>
      </c>
      <c r="B164" t="s">
        <v>16</v>
      </c>
      <c r="C164" t="s">
        <v>24</v>
      </c>
      <c r="D164">
        <v>230</v>
      </c>
      <c r="E164">
        <v>103500</v>
      </c>
      <c r="F164">
        <v>62729</v>
      </c>
      <c r="G164" t="s">
        <v>13</v>
      </c>
      <c r="H164">
        <v>40771</v>
      </c>
      <c r="I164">
        <v>450</v>
      </c>
      <c r="J164">
        <v>272.73480000000001</v>
      </c>
    </row>
    <row r="165" spans="1:10" x14ac:dyDescent="0.25">
      <c r="A165">
        <v>2023</v>
      </c>
      <c r="B165" t="s">
        <v>22</v>
      </c>
      <c r="C165" t="s">
        <v>18</v>
      </c>
      <c r="D165">
        <v>826</v>
      </c>
      <c r="E165">
        <v>470820</v>
      </c>
      <c r="F165">
        <v>359338</v>
      </c>
      <c r="G165" t="s">
        <v>9</v>
      </c>
      <c r="H165">
        <v>111482</v>
      </c>
      <c r="I165">
        <v>570</v>
      </c>
      <c r="J165">
        <v>435.03390000000002</v>
      </c>
    </row>
    <row r="166" spans="1:10" x14ac:dyDescent="0.25">
      <c r="A166">
        <v>2022</v>
      </c>
      <c r="B166" t="s">
        <v>12</v>
      </c>
      <c r="C166" t="s">
        <v>20</v>
      </c>
      <c r="D166">
        <v>1424</v>
      </c>
      <c r="E166">
        <v>786048</v>
      </c>
      <c r="F166">
        <v>518875</v>
      </c>
      <c r="G166" t="s">
        <v>9</v>
      </c>
      <c r="H166">
        <v>267173</v>
      </c>
      <c r="I166">
        <v>552</v>
      </c>
      <c r="J166">
        <v>364.37849999999997</v>
      </c>
    </row>
    <row r="167" spans="1:10" x14ac:dyDescent="0.25">
      <c r="A167">
        <v>2018</v>
      </c>
      <c r="B167" t="s">
        <v>22</v>
      </c>
      <c r="C167" t="s">
        <v>19</v>
      </c>
      <c r="D167">
        <v>245</v>
      </c>
      <c r="E167">
        <v>109025</v>
      </c>
      <c r="F167">
        <v>81839</v>
      </c>
      <c r="G167" t="s">
        <v>15</v>
      </c>
      <c r="H167">
        <v>27186</v>
      </c>
      <c r="I167">
        <v>445</v>
      </c>
      <c r="J167">
        <v>334.0367</v>
      </c>
    </row>
    <row r="168" spans="1:10" x14ac:dyDescent="0.25">
      <c r="A168">
        <v>2020</v>
      </c>
      <c r="B168" t="s">
        <v>10</v>
      </c>
      <c r="C168" t="s">
        <v>23</v>
      </c>
      <c r="D168">
        <v>1639</v>
      </c>
      <c r="E168">
        <v>681824</v>
      </c>
      <c r="F168">
        <v>436263</v>
      </c>
      <c r="G168" t="s">
        <v>15</v>
      </c>
      <c r="H168">
        <v>245561</v>
      </c>
      <c r="I168">
        <v>416</v>
      </c>
      <c r="J168">
        <v>266.17630000000003</v>
      </c>
    </row>
    <row r="169" spans="1:10" x14ac:dyDescent="0.25">
      <c r="A169">
        <v>2018</v>
      </c>
      <c r="B169" t="s">
        <v>17</v>
      </c>
      <c r="C169" t="s">
        <v>11</v>
      </c>
      <c r="D169">
        <v>582</v>
      </c>
      <c r="E169">
        <v>377136</v>
      </c>
      <c r="F169">
        <v>294643</v>
      </c>
      <c r="G169" t="s">
        <v>15</v>
      </c>
      <c r="H169">
        <v>82493</v>
      </c>
      <c r="I169">
        <v>648</v>
      </c>
      <c r="J169">
        <v>506.2595</v>
      </c>
    </row>
    <row r="170" spans="1:10" x14ac:dyDescent="0.25">
      <c r="A170">
        <v>2022</v>
      </c>
      <c r="B170" t="s">
        <v>10</v>
      </c>
      <c r="C170" t="s">
        <v>14</v>
      </c>
      <c r="D170">
        <v>1298</v>
      </c>
      <c r="E170">
        <v>633424</v>
      </c>
      <c r="F170">
        <v>468298</v>
      </c>
      <c r="G170" t="s">
        <v>9</v>
      </c>
      <c r="H170">
        <v>165126</v>
      </c>
      <c r="I170">
        <v>488</v>
      </c>
      <c r="J170">
        <v>360.78429999999997</v>
      </c>
    </row>
    <row r="171" spans="1:10" x14ac:dyDescent="0.25">
      <c r="A171">
        <v>2020</v>
      </c>
      <c r="B171" t="s">
        <v>10</v>
      </c>
      <c r="C171" t="s">
        <v>11</v>
      </c>
      <c r="D171">
        <v>419</v>
      </c>
      <c r="E171">
        <v>167600</v>
      </c>
      <c r="F171">
        <v>130181</v>
      </c>
      <c r="G171" t="s">
        <v>13</v>
      </c>
      <c r="H171">
        <v>37419</v>
      </c>
      <c r="I171">
        <v>400</v>
      </c>
      <c r="J171">
        <v>310.69450000000001</v>
      </c>
    </row>
    <row r="172" spans="1:10" x14ac:dyDescent="0.25">
      <c r="A172">
        <v>2020</v>
      </c>
      <c r="B172" t="s">
        <v>16</v>
      </c>
      <c r="C172" t="s">
        <v>19</v>
      </c>
      <c r="D172">
        <v>1595</v>
      </c>
      <c r="E172">
        <v>813450</v>
      </c>
      <c r="F172">
        <v>621194</v>
      </c>
      <c r="G172" t="s">
        <v>9</v>
      </c>
      <c r="H172">
        <v>192256</v>
      </c>
      <c r="I172">
        <v>510</v>
      </c>
      <c r="J172">
        <v>389.4633</v>
      </c>
    </row>
    <row r="173" spans="1:10" x14ac:dyDescent="0.25">
      <c r="A173">
        <v>2020</v>
      </c>
      <c r="B173" t="s">
        <v>16</v>
      </c>
      <c r="C173" t="s">
        <v>21</v>
      </c>
      <c r="D173">
        <v>1299</v>
      </c>
      <c r="E173">
        <v>724842</v>
      </c>
      <c r="F173">
        <v>471619</v>
      </c>
      <c r="G173" t="s">
        <v>13</v>
      </c>
      <c r="H173">
        <v>253223</v>
      </c>
      <c r="I173">
        <v>558</v>
      </c>
      <c r="J173">
        <v>363.06310000000002</v>
      </c>
    </row>
    <row r="174" spans="1:10" x14ac:dyDescent="0.25">
      <c r="A174">
        <v>2020</v>
      </c>
      <c r="B174" t="s">
        <v>10</v>
      </c>
      <c r="C174" t="s">
        <v>11</v>
      </c>
      <c r="D174">
        <v>1227</v>
      </c>
      <c r="E174">
        <v>642948</v>
      </c>
      <c r="F174">
        <v>398467</v>
      </c>
      <c r="G174" t="s">
        <v>15</v>
      </c>
      <c r="H174">
        <v>244481</v>
      </c>
      <c r="I174">
        <v>524</v>
      </c>
      <c r="J174">
        <v>324.74900000000002</v>
      </c>
    </row>
    <row r="175" spans="1:10" x14ac:dyDescent="0.25">
      <c r="A175">
        <v>2020</v>
      </c>
      <c r="B175" t="s">
        <v>22</v>
      </c>
      <c r="C175" t="s">
        <v>23</v>
      </c>
      <c r="D175">
        <v>1179</v>
      </c>
      <c r="E175">
        <v>601290</v>
      </c>
      <c r="F175">
        <v>398677</v>
      </c>
      <c r="G175" t="s">
        <v>15</v>
      </c>
      <c r="H175">
        <v>202613</v>
      </c>
      <c r="I175">
        <v>510</v>
      </c>
      <c r="J175">
        <v>338.14839999999998</v>
      </c>
    </row>
    <row r="176" spans="1:10" x14ac:dyDescent="0.25">
      <c r="A176">
        <v>2020</v>
      </c>
      <c r="B176" t="s">
        <v>17</v>
      </c>
      <c r="C176" t="s">
        <v>23</v>
      </c>
      <c r="D176">
        <v>1932</v>
      </c>
      <c r="E176">
        <v>855876</v>
      </c>
      <c r="F176">
        <v>559180</v>
      </c>
      <c r="G176" t="s">
        <v>9</v>
      </c>
      <c r="H176">
        <v>296696</v>
      </c>
      <c r="I176">
        <v>443</v>
      </c>
      <c r="J176">
        <v>289.43060000000003</v>
      </c>
    </row>
    <row r="177" spans="1:10" x14ac:dyDescent="0.25">
      <c r="A177">
        <v>2022</v>
      </c>
      <c r="B177" t="s">
        <v>10</v>
      </c>
      <c r="C177" t="s">
        <v>11</v>
      </c>
      <c r="D177">
        <v>638</v>
      </c>
      <c r="E177">
        <v>427460</v>
      </c>
      <c r="F177">
        <v>328813</v>
      </c>
      <c r="G177" t="s">
        <v>9</v>
      </c>
      <c r="H177">
        <v>98647</v>
      </c>
      <c r="I177">
        <v>670</v>
      </c>
      <c r="J177">
        <v>515.3809</v>
      </c>
    </row>
    <row r="178" spans="1:10" x14ac:dyDescent="0.25">
      <c r="A178">
        <v>2018</v>
      </c>
      <c r="B178" t="s">
        <v>10</v>
      </c>
      <c r="C178" t="s">
        <v>21</v>
      </c>
      <c r="D178">
        <v>1787</v>
      </c>
      <c r="E178">
        <v>1197290</v>
      </c>
      <c r="F178">
        <v>881145</v>
      </c>
      <c r="G178" t="s">
        <v>9</v>
      </c>
      <c r="H178">
        <v>316145</v>
      </c>
      <c r="I178">
        <v>670</v>
      </c>
      <c r="J178">
        <v>493.08620000000002</v>
      </c>
    </row>
    <row r="179" spans="1:10" x14ac:dyDescent="0.25">
      <c r="A179">
        <v>2020</v>
      </c>
      <c r="B179" t="s">
        <v>22</v>
      </c>
      <c r="C179" t="s">
        <v>18</v>
      </c>
      <c r="D179">
        <v>1604</v>
      </c>
      <c r="E179">
        <v>1081096</v>
      </c>
      <c r="F179">
        <v>749256</v>
      </c>
      <c r="G179" t="s">
        <v>9</v>
      </c>
      <c r="H179">
        <v>331840</v>
      </c>
      <c r="I179">
        <v>674</v>
      </c>
      <c r="J179">
        <v>467.11720000000003</v>
      </c>
    </row>
    <row r="180" spans="1:10" x14ac:dyDescent="0.25">
      <c r="A180">
        <v>2020</v>
      </c>
      <c r="B180" t="s">
        <v>10</v>
      </c>
      <c r="C180" t="s">
        <v>18</v>
      </c>
      <c r="D180">
        <v>1289</v>
      </c>
      <c r="E180">
        <v>574894</v>
      </c>
      <c r="F180">
        <v>429245</v>
      </c>
      <c r="G180" t="s">
        <v>9</v>
      </c>
      <c r="H180">
        <v>145649</v>
      </c>
      <c r="I180">
        <v>446</v>
      </c>
      <c r="J180">
        <v>333.00619999999998</v>
      </c>
    </row>
    <row r="181" spans="1:10" x14ac:dyDescent="0.25">
      <c r="A181">
        <v>2018</v>
      </c>
      <c r="B181" t="s">
        <v>10</v>
      </c>
      <c r="C181" t="s">
        <v>21</v>
      </c>
      <c r="D181">
        <v>1165</v>
      </c>
      <c r="E181">
        <v>603470</v>
      </c>
      <c r="F181">
        <v>376195</v>
      </c>
      <c r="G181" t="s">
        <v>9</v>
      </c>
      <c r="H181">
        <v>227275</v>
      </c>
      <c r="I181">
        <v>518</v>
      </c>
      <c r="J181">
        <v>322.91419999999999</v>
      </c>
    </row>
    <row r="182" spans="1:10" x14ac:dyDescent="0.25">
      <c r="A182">
        <v>2021</v>
      </c>
      <c r="B182" t="s">
        <v>17</v>
      </c>
      <c r="C182" t="s">
        <v>21</v>
      </c>
      <c r="D182">
        <v>851</v>
      </c>
      <c r="E182">
        <v>499537</v>
      </c>
      <c r="F182">
        <v>394154</v>
      </c>
      <c r="G182" t="s">
        <v>9</v>
      </c>
      <c r="H182">
        <v>105383</v>
      </c>
      <c r="I182">
        <v>587</v>
      </c>
      <c r="J182">
        <v>463.16570000000002</v>
      </c>
    </row>
    <row r="183" spans="1:10" x14ac:dyDescent="0.25">
      <c r="A183">
        <v>2020</v>
      </c>
      <c r="B183" t="s">
        <v>17</v>
      </c>
      <c r="C183" t="s">
        <v>11</v>
      </c>
      <c r="D183">
        <v>1752</v>
      </c>
      <c r="E183">
        <v>870744</v>
      </c>
      <c r="F183">
        <v>566419</v>
      </c>
      <c r="G183" t="s">
        <v>15</v>
      </c>
      <c r="H183">
        <v>304325</v>
      </c>
      <c r="I183">
        <v>497</v>
      </c>
      <c r="J183">
        <v>323.29849999999999</v>
      </c>
    </row>
    <row r="184" spans="1:10" x14ac:dyDescent="0.25">
      <c r="A184">
        <v>2020</v>
      </c>
      <c r="B184" t="s">
        <v>17</v>
      </c>
      <c r="C184" t="s">
        <v>8</v>
      </c>
      <c r="D184">
        <v>1729</v>
      </c>
      <c r="E184">
        <v>1021839</v>
      </c>
      <c r="F184">
        <v>715461</v>
      </c>
      <c r="G184" t="s">
        <v>15</v>
      </c>
      <c r="H184">
        <v>306378</v>
      </c>
      <c r="I184">
        <v>591</v>
      </c>
      <c r="J184">
        <v>413.8005</v>
      </c>
    </row>
    <row r="185" spans="1:10" x14ac:dyDescent="0.25">
      <c r="A185">
        <v>2023</v>
      </c>
      <c r="B185" t="s">
        <v>22</v>
      </c>
      <c r="C185" t="s">
        <v>8</v>
      </c>
      <c r="D185">
        <v>1449</v>
      </c>
      <c r="E185">
        <v>676683</v>
      </c>
      <c r="F185">
        <v>541118</v>
      </c>
      <c r="G185" t="s">
        <v>13</v>
      </c>
      <c r="H185">
        <v>135565</v>
      </c>
      <c r="I185">
        <v>467</v>
      </c>
      <c r="J185">
        <v>373.44240000000002</v>
      </c>
    </row>
    <row r="186" spans="1:10" x14ac:dyDescent="0.25">
      <c r="A186">
        <v>2018</v>
      </c>
      <c r="B186" t="s">
        <v>16</v>
      </c>
      <c r="C186" t="s">
        <v>21</v>
      </c>
      <c r="D186">
        <v>1114</v>
      </c>
      <c r="E186">
        <v>711846</v>
      </c>
      <c r="F186">
        <v>454734</v>
      </c>
      <c r="G186" t="s">
        <v>15</v>
      </c>
      <c r="H186">
        <v>257112</v>
      </c>
      <c r="I186">
        <v>639</v>
      </c>
      <c r="J186">
        <v>408.19929999999999</v>
      </c>
    </row>
    <row r="187" spans="1:10" x14ac:dyDescent="0.25">
      <c r="A187">
        <v>2019</v>
      </c>
      <c r="B187" t="s">
        <v>16</v>
      </c>
      <c r="C187" t="s">
        <v>11</v>
      </c>
      <c r="D187">
        <v>1218</v>
      </c>
      <c r="E187">
        <v>738108</v>
      </c>
      <c r="F187">
        <v>521928</v>
      </c>
      <c r="G187" t="s">
        <v>15</v>
      </c>
      <c r="H187">
        <v>216180</v>
      </c>
      <c r="I187">
        <v>606</v>
      </c>
      <c r="J187">
        <v>428.51229999999998</v>
      </c>
    </row>
    <row r="188" spans="1:10" x14ac:dyDescent="0.25">
      <c r="A188">
        <v>2021</v>
      </c>
      <c r="B188" t="s">
        <v>16</v>
      </c>
      <c r="C188" t="s">
        <v>19</v>
      </c>
      <c r="D188">
        <v>558</v>
      </c>
      <c r="E188">
        <v>389484</v>
      </c>
      <c r="F188">
        <v>292896</v>
      </c>
      <c r="G188" t="s">
        <v>9</v>
      </c>
      <c r="H188">
        <v>96588</v>
      </c>
      <c r="I188">
        <v>698</v>
      </c>
      <c r="J188">
        <v>524.90319999999997</v>
      </c>
    </row>
    <row r="189" spans="1:10" x14ac:dyDescent="0.25">
      <c r="A189">
        <v>2019</v>
      </c>
      <c r="B189" t="s">
        <v>7</v>
      </c>
      <c r="C189" t="s">
        <v>8</v>
      </c>
      <c r="D189">
        <v>1354</v>
      </c>
      <c r="E189">
        <v>854374</v>
      </c>
      <c r="F189">
        <v>650505</v>
      </c>
      <c r="G189" t="s">
        <v>13</v>
      </c>
      <c r="H189">
        <v>203869</v>
      </c>
      <c r="I189">
        <v>631</v>
      </c>
      <c r="J189">
        <v>480.43209999999999</v>
      </c>
    </row>
    <row r="190" spans="1:10" x14ac:dyDescent="0.25">
      <c r="A190">
        <v>2022</v>
      </c>
      <c r="B190" t="s">
        <v>22</v>
      </c>
      <c r="C190" t="s">
        <v>23</v>
      </c>
      <c r="D190">
        <v>1807</v>
      </c>
      <c r="E190">
        <v>771589</v>
      </c>
      <c r="F190">
        <v>564836</v>
      </c>
      <c r="G190" t="s">
        <v>15</v>
      </c>
      <c r="H190">
        <v>206753</v>
      </c>
      <c r="I190">
        <v>427</v>
      </c>
      <c r="J190">
        <v>312.5822</v>
      </c>
    </row>
    <row r="191" spans="1:10" x14ac:dyDescent="0.25">
      <c r="A191">
        <v>2018</v>
      </c>
      <c r="B191" t="s">
        <v>22</v>
      </c>
      <c r="C191" t="s">
        <v>11</v>
      </c>
      <c r="D191">
        <v>947</v>
      </c>
      <c r="E191">
        <v>459295</v>
      </c>
      <c r="F191">
        <v>279800</v>
      </c>
      <c r="G191" t="s">
        <v>9</v>
      </c>
      <c r="H191">
        <v>179495</v>
      </c>
      <c r="I191">
        <v>485</v>
      </c>
      <c r="J191">
        <v>295.45929999999998</v>
      </c>
    </row>
    <row r="192" spans="1:10" x14ac:dyDescent="0.25">
      <c r="A192">
        <v>2021</v>
      </c>
      <c r="B192" t="s">
        <v>7</v>
      </c>
      <c r="C192" t="s">
        <v>8</v>
      </c>
      <c r="D192">
        <v>1406</v>
      </c>
      <c r="E192">
        <v>975764</v>
      </c>
      <c r="F192">
        <v>590276</v>
      </c>
      <c r="G192" t="s">
        <v>9</v>
      </c>
      <c r="H192">
        <v>385488</v>
      </c>
      <c r="I192">
        <v>694</v>
      </c>
      <c r="J192">
        <v>419.82650000000001</v>
      </c>
    </row>
    <row r="193" spans="1:10" x14ac:dyDescent="0.25">
      <c r="A193">
        <v>2018</v>
      </c>
      <c r="B193" t="s">
        <v>22</v>
      </c>
      <c r="C193" t="s">
        <v>24</v>
      </c>
      <c r="D193">
        <v>1672</v>
      </c>
      <c r="E193">
        <v>723976</v>
      </c>
      <c r="F193">
        <v>451094</v>
      </c>
      <c r="G193" t="s">
        <v>13</v>
      </c>
      <c r="H193">
        <v>272882</v>
      </c>
      <c r="I193">
        <v>433</v>
      </c>
      <c r="J193">
        <v>269.79309999999998</v>
      </c>
    </row>
    <row r="194" spans="1:10" x14ac:dyDescent="0.25">
      <c r="A194">
        <v>2021</v>
      </c>
      <c r="B194" t="s">
        <v>16</v>
      </c>
      <c r="C194" t="s">
        <v>19</v>
      </c>
      <c r="D194">
        <v>1594</v>
      </c>
      <c r="E194">
        <v>951618</v>
      </c>
      <c r="F194">
        <v>624849</v>
      </c>
      <c r="G194" t="s">
        <v>15</v>
      </c>
      <c r="H194">
        <v>326769</v>
      </c>
      <c r="I194">
        <v>597</v>
      </c>
      <c r="J194">
        <v>392.00060000000002</v>
      </c>
    </row>
    <row r="195" spans="1:10" x14ac:dyDescent="0.25">
      <c r="A195">
        <v>2023</v>
      </c>
      <c r="B195" t="s">
        <v>22</v>
      </c>
      <c r="C195" t="s">
        <v>24</v>
      </c>
      <c r="D195">
        <v>296</v>
      </c>
      <c r="E195">
        <v>198320</v>
      </c>
      <c r="F195">
        <v>146619</v>
      </c>
      <c r="G195" t="s">
        <v>13</v>
      </c>
      <c r="H195">
        <v>51701</v>
      </c>
      <c r="I195">
        <v>670</v>
      </c>
      <c r="J195">
        <v>495.33449999999999</v>
      </c>
    </row>
    <row r="196" spans="1:10" x14ac:dyDescent="0.25">
      <c r="A196">
        <v>2021</v>
      </c>
      <c r="B196" t="s">
        <v>16</v>
      </c>
      <c r="C196" t="s">
        <v>20</v>
      </c>
      <c r="D196">
        <v>495</v>
      </c>
      <c r="E196">
        <v>303435</v>
      </c>
      <c r="F196">
        <v>192755</v>
      </c>
      <c r="G196" t="s">
        <v>15</v>
      </c>
      <c r="H196">
        <v>110680</v>
      </c>
      <c r="I196">
        <v>613</v>
      </c>
      <c r="J196">
        <v>389.404</v>
      </c>
    </row>
    <row r="197" spans="1:10" x14ac:dyDescent="0.25">
      <c r="A197">
        <v>2019</v>
      </c>
      <c r="B197" t="s">
        <v>7</v>
      </c>
      <c r="C197" t="s">
        <v>11</v>
      </c>
      <c r="D197">
        <v>1400</v>
      </c>
      <c r="E197">
        <v>679000</v>
      </c>
      <c r="F197">
        <v>483886</v>
      </c>
      <c r="G197" t="s">
        <v>9</v>
      </c>
      <c r="H197">
        <v>195114</v>
      </c>
      <c r="I197">
        <v>485</v>
      </c>
      <c r="J197">
        <v>345.63290000000001</v>
      </c>
    </row>
    <row r="198" spans="1:10" x14ac:dyDescent="0.25">
      <c r="A198">
        <v>2019</v>
      </c>
      <c r="B198" t="s">
        <v>17</v>
      </c>
      <c r="C198" t="s">
        <v>18</v>
      </c>
      <c r="D198">
        <v>1921</v>
      </c>
      <c r="E198">
        <v>891344</v>
      </c>
      <c r="F198">
        <v>535150</v>
      </c>
      <c r="G198" t="s">
        <v>9</v>
      </c>
      <c r="H198">
        <v>356194</v>
      </c>
      <c r="I198">
        <v>464</v>
      </c>
      <c r="J198">
        <v>278.57889999999998</v>
      </c>
    </row>
    <row r="199" spans="1:10" x14ac:dyDescent="0.25">
      <c r="A199">
        <v>2019</v>
      </c>
      <c r="B199" t="s">
        <v>12</v>
      </c>
      <c r="C199" t="s">
        <v>19</v>
      </c>
      <c r="D199">
        <v>1691</v>
      </c>
      <c r="E199">
        <v>730512</v>
      </c>
      <c r="F199">
        <v>571443</v>
      </c>
      <c r="G199" t="s">
        <v>15</v>
      </c>
      <c r="H199">
        <v>159069</v>
      </c>
      <c r="I199">
        <v>432</v>
      </c>
      <c r="J199">
        <v>337.93200000000002</v>
      </c>
    </row>
    <row r="200" spans="1:10" x14ac:dyDescent="0.25">
      <c r="A200">
        <v>2022</v>
      </c>
      <c r="B200" t="s">
        <v>16</v>
      </c>
      <c r="C200" t="s">
        <v>21</v>
      </c>
      <c r="D200">
        <v>422</v>
      </c>
      <c r="E200">
        <v>267970</v>
      </c>
      <c r="F200">
        <v>207233</v>
      </c>
      <c r="G200" t="s">
        <v>15</v>
      </c>
      <c r="H200">
        <v>60737</v>
      </c>
      <c r="I200">
        <v>635</v>
      </c>
      <c r="J200">
        <v>491.07350000000002</v>
      </c>
    </row>
    <row r="201" spans="1:10" x14ac:dyDescent="0.25">
      <c r="A201">
        <v>2021</v>
      </c>
      <c r="B201" t="s">
        <v>17</v>
      </c>
      <c r="C201" t="s">
        <v>19</v>
      </c>
      <c r="D201">
        <v>1791</v>
      </c>
      <c r="E201">
        <v>1167732</v>
      </c>
      <c r="F201">
        <v>848144</v>
      </c>
      <c r="G201" t="s">
        <v>9</v>
      </c>
      <c r="H201">
        <v>319588</v>
      </c>
      <c r="I201">
        <v>652</v>
      </c>
      <c r="J201">
        <v>473.55889999999999</v>
      </c>
    </row>
    <row r="202" spans="1:10" x14ac:dyDescent="0.25">
      <c r="A202">
        <v>2019</v>
      </c>
      <c r="B202" t="s">
        <v>22</v>
      </c>
      <c r="C202" t="s">
        <v>19</v>
      </c>
      <c r="D202">
        <v>1498</v>
      </c>
      <c r="E202">
        <v>918274</v>
      </c>
      <c r="F202">
        <v>584036</v>
      </c>
      <c r="G202" t="s">
        <v>13</v>
      </c>
      <c r="H202">
        <v>334238</v>
      </c>
      <c r="I202">
        <v>613</v>
      </c>
      <c r="J202">
        <v>389.87720000000002</v>
      </c>
    </row>
    <row r="203" spans="1:10" x14ac:dyDescent="0.25">
      <c r="A203">
        <v>2021</v>
      </c>
      <c r="B203" t="s">
        <v>12</v>
      </c>
      <c r="C203" t="s">
        <v>11</v>
      </c>
      <c r="D203">
        <v>1519</v>
      </c>
      <c r="E203">
        <v>644056</v>
      </c>
      <c r="F203">
        <v>434746</v>
      </c>
      <c r="G203" t="s">
        <v>13</v>
      </c>
      <c r="H203">
        <v>209310</v>
      </c>
      <c r="I203">
        <v>424</v>
      </c>
      <c r="J203">
        <v>286.2054</v>
      </c>
    </row>
    <row r="204" spans="1:10" x14ac:dyDescent="0.25">
      <c r="A204">
        <v>2019</v>
      </c>
      <c r="B204" t="s">
        <v>12</v>
      </c>
      <c r="C204" t="s">
        <v>24</v>
      </c>
      <c r="D204">
        <v>1867</v>
      </c>
      <c r="E204">
        <v>1267693</v>
      </c>
      <c r="F204">
        <v>764694</v>
      </c>
      <c r="G204" t="s">
        <v>15</v>
      </c>
      <c r="H204">
        <v>502999</v>
      </c>
      <c r="I204">
        <v>679</v>
      </c>
      <c r="J204">
        <v>409.58440000000002</v>
      </c>
    </row>
    <row r="205" spans="1:10" x14ac:dyDescent="0.25">
      <c r="A205">
        <v>2020</v>
      </c>
      <c r="B205" t="s">
        <v>17</v>
      </c>
      <c r="C205" t="s">
        <v>19</v>
      </c>
      <c r="D205">
        <v>1662</v>
      </c>
      <c r="E205">
        <v>742914</v>
      </c>
      <c r="F205">
        <v>526821</v>
      </c>
      <c r="G205" t="s">
        <v>9</v>
      </c>
      <c r="H205">
        <v>216093</v>
      </c>
      <c r="I205">
        <v>447</v>
      </c>
      <c r="J205">
        <v>316.98009999999999</v>
      </c>
    </row>
    <row r="206" spans="1:10" x14ac:dyDescent="0.25">
      <c r="A206">
        <v>2022</v>
      </c>
      <c r="B206" t="s">
        <v>7</v>
      </c>
      <c r="C206" t="s">
        <v>11</v>
      </c>
      <c r="D206">
        <v>1138</v>
      </c>
      <c r="E206">
        <v>522342</v>
      </c>
      <c r="F206">
        <v>333742</v>
      </c>
      <c r="G206" t="s">
        <v>13</v>
      </c>
      <c r="H206">
        <v>188600</v>
      </c>
      <c r="I206">
        <v>459</v>
      </c>
      <c r="J206">
        <v>293.27069999999998</v>
      </c>
    </row>
    <row r="207" spans="1:10" x14ac:dyDescent="0.25">
      <c r="A207">
        <v>2021</v>
      </c>
      <c r="B207" t="s">
        <v>12</v>
      </c>
      <c r="C207" t="s">
        <v>23</v>
      </c>
      <c r="D207">
        <v>857</v>
      </c>
      <c r="E207">
        <v>540767</v>
      </c>
      <c r="F207">
        <v>379533</v>
      </c>
      <c r="G207" t="s">
        <v>13</v>
      </c>
      <c r="H207">
        <v>161234</v>
      </c>
      <c r="I207">
        <v>631</v>
      </c>
      <c r="J207">
        <v>442.8623</v>
      </c>
    </row>
    <row r="208" spans="1:10" x14ac:dyDescent="0.25">
      <c r="A208">
        <v>2023</v>
      </c>
      <c r="B208" t="s">
        <v>12</v>
      </c>
      <c r="C208" t="s">
        <v>8</v>
      </c>
      <c r="D208">
        <v>1072</v>
      </c>
      <c r="E208">
        <v>710736</v>
      </c>
      <c r="F208">
        <v>439596</v>
      </c>
      <c r="G208" t="s">
        <v>15</v>
      </c>
      <c r="H208">
        <v>271140</v>
      </c>
      <c r="I208">
        <v>663</v>
      </c>
      <c r="J208">
        <v>410.07089999999999</v>
      </c>
    </row>
    <row r="209" spans="1:10" x14ac:dyDescent="0.25">
      <c r="A209">
        <v>2019</v>
      </c>
      <c r="B209" t="s">
        <v>10</v>
      </c>
      <c r="C209" t="s">
        <v>14</v>
      </c>
      <c r="D209">
        <v>626</v>
      </c>
      <c r="E209">
        <v>354942</v>
      </c>
      <c r="F209">
        <v>254385</v>
      </c>
      <c r="G209" t="s">
        <v>15</v>
      </c>
      <c r="H209">
        <v>100557</v>
      </c>
      <c r="I209">
        <v>567</v>
      </c>
      <c r="J209">
        <v>406.36579999999998</v>
      </c>
    </row>
    <row r="210" spans="1:10" x14ac:dyDescent="0.25">
      <c r="A210">
        <v>2023</v>
      </c>
      <c r="B210" t="s">
        <v>7</v>
      </c>
      <c r="C210" t="s">
        <v>14</v>
      </c>
      <c r="D210">
        <v>966</v>
      </c>
      <c r="E210">
        <v>533232</v>
      </c>
      <c r="F210">
        <v>410336</v>
      </c>
      <c r="G210" t="s">
        <v>15</v>
      </c>
      <c r="H210">
        <v>122896</v>
      </c>
      <c r="I210">
        <v>552</v>
      </c>
      <c r="J210">
        <v>424.77850000000001</v>
      </c>
    </row>
    <row r="211" spans="1:10" x14ac:dyDescent="0.25">
      <c r="A211">
        <v>2018</v>
      </c>
      <c r="B211" t="s">
        <v>16</v>
      </c>
      <c r="C211" t="s">
        <v>14</v>
      </c>
      <c r="D211">
        <v>952</v>
      </c>
      <c r="E211">
        <v>611184</v>
      </c>
      <c r="F211">
        <v>468164</v>
      </c>
      <c r="G211" t="s">
        <v>15</v>
      </c>
      <c r="H211">
        <v>143020</v>
      </c>
      <c r="I211">
        <v>642</v>
      </c>
      <c r="J211">
        <v>491.76889999999997</v>
      </c>
    </row>
    <row r="212" spans="1:10" x14ac:dyDescent="0.25">
      <c r="A212">
        <v>2021</v>
      </c>
      <c r="B212" t="s">
        <v>10</v>
      </c>
      <c r="C212" t="s">
        <v>24</v>
      </c>
      <c r="D212">
        <v>1054</v>
      </c>
      <c r="E212">
        <v>438464</v>
      </c>
      <c r="F212">
        <v>279751</v>
      </c>
      <c r="G212" t="s">
        <v>9</v>
      </c>
      <c r="H212">
        <v>158713</v>
      </c>
      <c r="I212">
        <v>416</v>
      </c>
      <c r="J212">
        <v>265.41840000000002</v>
      </c>
    </row>
    <row r="213" spans="1:10" x14ac:dyDescent="0.25">
      <c r="A213">
        <v>2023</v>
      </c>
      <c r="B213" t="s">
        <v>7</v>
      </c>
      <c r="C213" t="s">
        <v>19</v>
      </c>
      <c r="D213">
        <v>847</v>
      </c>
      <c r="E213">
        <v>442981</v>
      </c>
      <c r="F213">
        <v>353028</v>
      </c>
      <c r="G213" t="s">
        <v>13</v>
      </c>
      <c r="H213">
        <v>89953</v>
      </c>
      <c r="I213">
        <v>523</v>
      </c>
      <c r="J213">
        <v>416.79809999999998</v>
      </c>
    </row>
    <row r="214" spans="1:10" x14ac:dyDescent="0.25">
      <c r="A214">
        <v>2020</v>
      </c>
      <c r="B214" t="s">
        <v>17</v>
      </c>
      <c r="C214" t="s">
        <v>8</v>
      </c>
      <c r="D214">
        <v>1002</v>
      </c>
      <c r="E214">
        <v>678354</v>
      </c>
      <c r="F214">
        <v>485468</v>
      </c>
      <c r="G214" t="s">
        <v>9</v>
      </c>
      <c r="H214">
        <v>192886</v>
      </c>
      <c r="I214">
        <v>677</v>
      </c>
      <c r="J214">
        <v>484.49900000000002</v>
      </c>
    </row>
    <row r="215" spans="1:10" x14ac:dyDescent="0.25">
      <c r="A215">
        <v>2018</v>
      </c>
      <c r="B215" t="s">
        <v>10</v>
      </c>
      <c r="C215" t="s">
        <v>14</v>
      </c>
      <c r="D215">
        <v>1864</v>
      </c>
      <c r="E215">
        <v>1101624</v>
      </c>
      <c r="F215">
        <v>800534</v>
      </c>
      <c r="G215" t="s">
        <v>9</v>
      </c>
      <c r="H215">
        <v>301090</v>
      </c>
      <c r="I215">
        <v>591</v>
      </c>
      <c r="J215">
        <v>429.471</v>
      </c>
    </row>
    <row r="216" spans="1:10" x14ac:dyDescent="0.25">
      <c r="A216">
        <v>2021</v>
      </c>
      <c r="B216" t="s">
        <v>10</v>
      </c>
      <c r="C216" t="s">
        <v>24</v>
      </c>
      <c r="D216">
        <v>1551</v>
      </c>
      <c r="E216">
        <v>640563</v>
      </c>
      <c r="F216">
        <v>413079</v>
      </c>
      <c r="G216" t="s">
        <v>9</v>
      </c>
      <c r="H216">
        <v>227484</v>
      </c>
      <c r="I216">
        <v>413</v>
      </c>
      <c r="J216">
        <v>266.33080000000001</v>
      </c>
    </row>
    <row r="217" spans="1:10" x14ac:dyDescent="0.25">
      <c r="A217">
        <v>2021</v>
      </c>
      <c r="B217" t="s">
        <v>7</v>
      </c>
      <c r="C217" t="s">
        <v>19</v>
      </c>
      <c r="D217">
        <v>202</v>
      </c>
      <c r="E217">
        <v>109080</v>
      </c>
      <c r="F217">
        <v>68895</v>
      </c>
      <c r="G217" t="s">
        <v>9</v>
      </c>
      <c r="H217">
        <v>40185</v>
      </c>
      <c r="I217">
        <v>540</v>
      </c>
      <c r="J217">
        <v>341.06439999999998</v>
      </c>
    </row>
    <row r="218" spans="1:10" x14ac:dyDescent="0.25">
      <c r="A218">
        <v>2022</v>
      </c>
      <c r="B218" t="s">
        <v>22</v>
      </c>
      <c r="C218" t="s">
        <v>8</v>
      </c>
      <c r="D218">
        <v>1180</v>
      </c>
      <c r="E218">
        <v>641920</v>
      </c>
      <c r="F218">
        <v>481604</v>
      </c>
      <c r="G218" t="s">
        <v>15</v>
      </c>
      <c r="H218">
        <v>160316</v>
      </c>
      <c r="I218">
        <v>544</v>
      </c>
      <c r="J218">
        <v>408.13900000000001</v>
      </c>
    </row>
    <row r="219" spans="1:10" x14ac:dyDescent="0.25">
      <c r="A219">
        <v>2018</v>
      </c>
      <c r="B219" t="s">
        <v>10</v>
      </c>
      <c r="C219" t="s">
        <v>24</v>
      </c>
      <c r="D219">
        <v>893</v>
      </c>
      <c r="E219">
        <v>513475</v>
      </c>
      <c r="F219">
        <v>378578</v>
      </c>
      <c r="G219" t="s">
        <v>13</v>
      </c>
      <c r="H219">
        <v>134897</v>
      </c>
      <c r="I219">
        <v>575</v>
      </c>
      <c r="J219">
        <v>423.93950000000001</v>
      </c>
    </row>
    <row r="220" spans="1:10" x14ac:dyDescent="0.25">
      <c r="A220">
        <v>2018</v>
      </c>
      <c r="B220" t="s">
        <v>7</v>
      </c>
      <c r="C220" t="s">
        <v>18</v>
      </c>
      <c r="D220">
        <v>1303</v>
      </c>
      <c r="E220">
        <v>832617</v>
      </c>
      <c r="F220">
        <v>531218</v>
      </c>
      <c r="G220" t="s">
        <v>9</v>
      </c>
      <c r="H220">
        <v>301399</v>
      </c>
      <c r="I220">
        <v>639</v>
      </c>
      <c r="J220">
        <v>407.6884</v>
      </c>
    </row>
    <row r="221" spans="1:10" x14ac:dyDescent="0.25">
      <c r="A221">
        <v>2022</v>
      </c>
      <c r="B221" t="s">
        <v>16</v>
      </c>
      <c r="C221" t="s">
        <v>11</v>
      </c>
      <c r="D221">
        <v>1408</v>
      </c>
      <c r="E221">
        <v>809600</v>
      </c>
      <c r="F221">
        <v>520548</v>
      </c>
      <c r="G221" t="s">
        <v>9</v>
      </c>
      <c r="H221">
        <v>289052</v>
      </c>
      <c r="I221">
        <v>575</v>
      </c>
      <c r="J221">
        <v>369.70740000000001</v>
      </c>
    </row>
    <row r="222" spans="1:10" x14ac:dyDescent="0.25">
      <c r="A222">
        <v>2018</v>
      </c>
      <c r="B222" t="s">
        <v>7</v>
      </c>
      <c r="C222" t="s">
        <v>21</v>
      </c>
      <c r="D222">
        <v>1754</v>
      </c>
      <c r="E222">
        <v>887524</v>
      </c>
      <c r="F222">
        <v>586388</v>
      </c>
      <c r="G222" t="s">
        <v>9</v>
      </c>
      <c r="H222">
        <v>301136</v>
      </c>
      <c r="I222">
        <v>506</v>
      </c>
      <c r="J222">
        <v>334.31470000000002</v>
      </c>
    </row>
    <row r="223" spans="1:10" x14ac:dyDescent="0.25">
      <c r="A223">
        <v>2020</v>
      </c>
      <c r="B223" t="s">
        <v>17</v>
      </c>
      <c r="C223" t="s">
        <v>23</v>
      </c>
      <c r="D223">
        <v>1291</v>
      </c>
      <c r="E223">
        <v>560294</v>
      </c>
      <c r="F223">
        <v>345801</v>
      </c>
      <c r="G223" t="s">
        <v>15</v>
      </c>
      <c r="H223">
        <v>214493</v>
      </c>
      <c r="I223">
        <v>434</v>
      </c>
      <c r="J223">
        <v>267.85520000000002</v>
      </c>
    </row>
    <row r="224" spans="1:10" x14ac:dyDescent="0.25">
      <c r="A224">
        <v>2022</v>
      </c>
      <c r="B224" t="s">
        <v>22</v>
      </c>
      <c r="C224" t="s">
        <v>24</v>
      </c>
      <c r="D224">
        <v>314</v>
      </c>
      <c r="E224">
        <v>146324</v>
      </c>
      <c r="F224">
        <v>103441</v>
      </c>
      <c r="G224" t="s">
        <v>15</v>
      </c>
      <c r="H224">
        <v>42883</v>
      </c>
      <c r="I224">
        <v>466</v>
      </c>
      <c r="J224">
        <v>329.42989999999998</v>
      </c>
    </row>
    <row r="225" spans="1:10" x14ac:dyDescent="0.25">
      <c r="A225">
        <v>2022</v>
      </c>
      <c r="B225" t="s">
        <v>22</v>
      </c>
      <c r="C225" t="s">
        <v>14</v>
      </c>
      <c r="D225">
        <v>1566</v>
      </c>
      <c r="E225">
        <v>786132</v>
      </c>
      <c r="F225">
        <v>615001</v>
      </c>
      <c r="G225" t="s">
        <v>15</v>
      </c>
      <c r="H225">
        <v>171131</v>
      </c>
      <c r="I225">
        <v>502</v>
      </c>
      <c r="J225">
        <v>392.72089999999997</v>
      </c>
    </row>
    <row r="226" spans="1:10" x14ac:dyDescent="0.25">
      <c r="A226">
        <v>2021</v>
      </c>
      <c r="B226" t="s">
        <v>12</v>
      </c>
      <c r="C226" t="s">
        <v>23</v>
      </c>
      <c r="D226">
        <v>324</v>
      </c>
      <c r="E226">
        <v>174636</v>
      </c>
      <c r="F226">
        <v>135156</v>
      </c>
      <c r="G226" t="s">
        <v>13</v>
      </c>
      <c r="H226">
        <v>39480</v>
      </c>
      <c r="I226">
        <v>539</v>
      </c>
      <c r="J226">
        <v>417.1481</v>
      </c>
    </row>
    <row r="227" spans="1:10" x14ac:dyDescent="0.25">
      <c r="A227">
        <v>2023</v>
      </c>
      <c r="B227" t="s">
        <v>17</v>
      </c>
      <c r="C227" t="s">
        <v>24</v>
      </c>
      <c r="D227">
        <v>329</v>
      </c>
      <c r="E227">
        <v>195755</v>
      </c>
      <c r="F227">
        <v>135982</v>
      </c>
      <c r="G227" t="s">
        <v>15</v>
      </c>
      <c r="H227">
        <v>59773</v>
      </c>
      <c r="I227">
        <v>595</v>
      </c>
      <c r="J227">
        <v>413.31909999999999</v>
      </c>
    </row>
    <row r="228" spans="1:10" x14ac:dyDescent="0.25">
      <c r="A228">
        <v>2021</v>
      </c>
      <c r="B228" t="s">
        <v>7</v>
      </c>
      <c r="C228" t="s">
        <v>24</v>
      </c>
      <c r="D228">
        <v>542</v>
      </c>
      <c r="E228">
        <v>308940</v>
      </c>
      <c r="F228">
        <v>225205</v>
      </c>
      <c r="G228" t="s">
        <v>15</v>
      </c>
      <c r="H228">
        <v>83735</v>
      </c>
      <c r="I228">
        <v>570</v>
      </c>
      <c r="J228">
        <v>415.50740000000002</v>
      </c>
    </row>
    <row r="229" spans="1:10" x14ac:dyDescent="0.25">
      <c r="A229">
        <v>2022</v>
      </c>
      <c r="B229" t="s">
        <v>7</v>
      </c>
      <c r="C229" t="s">
        <v>14</v>
      </c>
      <c r="D229">
        <v>1176</v>
      </c>
      <c r="E229">
        <v>763224</v>
      </c>
      <c r="F229">
        <v>527767</v>
      </c>
      <c r="G229" t="s">
        <v>13</v>
      </c>
      <c r="H229">
        <v>235457</v>
      </c>
      <c r="I229">
        <v>649</v>
      </c>
      <c r="J229">
        <v>448.78149999999999</v>
      </c>
    </row>
    <row r="230" spans="1:10" x14ac:dyDescent="0.25">
      <c r="A230">
        <v>2020</v>
      </c>
      <c r="B230" t="s">
        <v>17</v>
      </c>
      <c r="C230" t="s">
        <v>8</v>
      </c>
      <c r="D230">
        <v>1844</v>
      </c>
      <c r="E230">
        <v>1017888</v>
      </c>
      <c r="F230">
        <v>614515</v>
      </c>
      <c r="G230" t="s">
        <v>15</v>
      </c>
      <c r="H230">
        <v>403373</v>
      </c>
      <c r="I230">
        <v>552</v>
      </c>
      <c r="J230">
        <v>333.25110000000001</v>
      </c>
    </row>
    <row r="231" spans="1:10" x14ac:dyDescent="0.25">
      <c r="A231">
        <v>2021</v>
      </c>
      <c r="B231" t="s">
        <v>17</v>
      </c>
      <c r="C231" t="s">
        <v>21</v>
      </c>
      <c r="D231">
        <v>1648</v>
      </c>
      <c r="E231">
        <v>670736</v>
      </c>
      <c r="F231">
        <v>457168</v>
      </c>
      <c r="G231" t="s">
        <v>15</v>
      </c>
      <c r="H231">
        <v>213568</v>
      </c>
      <c r="I231">
        <v>407</v>
      </c>
      <c r="J231">
        <v>277.40780000000001</v>
      </c>
    </row>
    <row r="232" spans="1:10" x14ac:dyDescent="0.25">
      <c r="A232">
        <v>2019</v>
      </c>
      <c r="B232" t="s">
        <v>12</v>
      </c>
      <c r="C232" t="s">
        <v>20</v>
      </c>
      <c r="D232">
        <v>855</v>
      </c>
      <c r="E232">
        <v>377055</v>
      </c>
      <c r="F232">
        <v>289789</v>
      </c>
      <c r="G232" t="s">
        <v>9</v>
      </c>
      <c r="H232">
        <v>87266</v>
      </c>
      <c r="I232">
        <v>441</v>
      </c>
      <c r="J232">
        <v>338.93450000000001</v>
      </c>
    </row>
    <row r="233" spans="1:10" x14ac:dyDescent="0.25">
      <c r="A233">
        <v>2019</v>
      </c>
      <c r="B233" t="s">
        <v>10</v>
      </c>
      <c r="C233" t="s">
        <v>23</v>
      </c>
      <c r="D233">
        <v>1899</v>
      </c>
      <c r="E233">
        <v>888732</v>
      </c>
      <c r="F233">
        <v>637472</v>
      </c>
      <c r="G233" t="s">
        <v>9</v>
      </c>
      <c r="H233">
        <v>251260</v>
      </c>
      <c r="I233">
        <v>468</v>
      </c>
      <c r="J233">
        <v>335.68830000000003</v>
      </c>
    </row>
    <row r="234" spans="1:10" x14ac:dyDescent="0.25">
      <c r="A234">
        <v>2023</v>
      </c>
      <c r="B234" t="s">
        <v>10</v>
      </c>
      <c r="C234" t="s">
        <v>20</v>
      </c>
      <c r="D234">
        <v>1870</v>
      </c>
      <c r="E234">
        <v>1110780</v>
      </c>
      <c r="F234">
        <v>785907</v>
      </c>
      <c r="G234" t="s">
        <v>9</v>
      </c>
      <c r="H234">
        <v>324873</v>
      </c>
      <c r="I234">
        <v>594</v>
      </c>
      <c r="J234">
        <v>420.27109999999999</v>
      </c>
    </row>
    <row r="235" spans="1:10" x14ac:dyDescent="0.25">
      <c r="A235">
        <v>2022</v>
      </c>
      <c r="B235" t="s">
        <v>17</v>
      </c>
      <c r="C235" t="s">
        <v>18</v>
      </c>
      <c r="D235">
        <v>904</v>
      </c>
      <c r="E235">
        <v>449288</v>
      </c>
      <c r="F235">
        <v>295533</v>
      </c>
      <c r="G235" t="s">
        <v>15</v>
      </c>
      <c r="H235">
        <v>153755</v>
      </c>
      <c r="I235">
        <v>497</v>
      </c>
      <c r="J235">
        <v>326.91699999999997</v>
      </c>
    </row>
    <row r="236" spans="1:10" x14ac:dyDescent="0.25">
      <c r="A236">
        <v>2021</v>
      </c>
      <c r="B236" t="s">
        <v>22</v>
      </c>
      <c r="C236" t="s">
        <v>21</v>
      </c>
      <c r="D236">
        <v>291</v>
      </c>
      <c r="E236">
        <v>160632</v>
      </c>
      <c r="F236">
        <v>102624</v>
      </c>
      <c r="G236" t="s">
        <v>15</v>
      </c>
      <c r="H236">
        <v>58008</v>
      </c>
      <c r="I236">
        <v>552</v>
      </c>
      <c r="J236">
        <v>352.65980000000002</v>
      </c>
    </row>
    <row r="237" spans="1:10" x14ac:dyDescent="0.25">
      <c r="A237">
        <v>2019</v>
      </c>
      <c r="B237" t="s">
        <v>10</v>
      </c>
      <c r="C237" t="s">
        <v>18</v>
      </c>
      <c r="D237">
        <v>800</v>
      </c>
      <c r="E237">
        <v>510400</v>
      </c>
      <c r="F237">
        <v>332022</v>
      </c>
      <c r="G237" t="s">
        <v>9</v>
      </c>
      <c r="H237">
        <v>178378</v>
      </c>
      <c r="I237">
        <v>638</v>
      </c>
      <c r="J237">
        <v>415.02749999999997</v>
      </c>
    </row>
    <row r="238" spans="1:10" x14ac:dyDescent="0.25">
      <c r="A238">
        <v>2018</v>
      </c>
      <c r="B238" t="s">
        <v>10</v>
      </c>
      <c r="C238" t="s">
        <v>24</v>
      </c>
      <c r="D238">
        <v>1353</v>
      </c>
      <c r="E238">
        <v>669735</v>
      </c>
      <c r="F238">
        <v>411998</v>
      </c>
      <c r="G238" t="s">
        <v>13</v>
      </c>
      <c r="H238">
        <v>257737</v>
      </c>
      <c r="I238">
        <v>495</v>
      </c>
      <c r="J238">
        <v>304.50700000000001</v>
      </c>
    </row>
    <row r="239" spans="1:10" x14ac:dyDescent="0.25">
      <c r="A239">
        <v>2023</v>
      </c>
      <c r="B239" t="s">
        <v>16</v>
      </c>
      <c r="C239" t="s">
        <v>24</v>
      </c>
      <c r="D239">
        <v>1076</v>
      </c>
      <c r="E239">
        <v>739212</v>
      </c>
      <c r="F239">
        <v>505018</v>
      </c>
      <c r="G239" t="s">
        <v>9</v>
      </c>
      <c r="H239">
        <v>234194</v>
      </c>
      <c r="I239">
        <v>687</v>
      </c>
      <c r="J239">
        <v>469.3476</v>
      </c>
    </row>
    <row r="240" spans="1:10" x14ac:dyDescent="0.25">
      <c r="A240">
        <v>2020</v>
      </c>
      <c r="B240" t="s">
        <v>22</v>
      </c>
      <c r="C240" t="s">
        <v>11</v>
      </c>
      <c r="D240">
        <v>863</v>
      </c>
      <c r="E240">
        <v>464294</v>
      </c>
      <c r="F240">
        <v>298638</v>
      </c>
      <c r="G240" t="s">
        <v>9</v>
      </c>
      <c r="H240">
        <v>165656</v>
      </c>
      <c r="I240">
        <v>538</v>
      </c>
      <c r="J240">
        <v>346.04629999999997</v>
      </c>
    </row>
    <row r="241" spans="1:10" x14ac:dyDescent="0.25">
      <c r="A241">
        <v>2019</v>
      </c>
      <c r="B241" t="s">
        <v>22</v>
      </c>
      <c r="C241" t="s">
        <v>21</v>
      </c>
      <c r="D241">
        <v>774</v>
      </c>
      <c r="E241">
        <v>320436</v>
      </c>
      <c r="F241">
        <v>210242</v>
      </c>
      <c r="G241" t="s">
        <v>15</v>
      </c>
      <c r="H241">
        <v>110194</v>
      </c>
      <c r="I241">
        <v>414</v>
      </c>
      <c r="J241">
        <v>271.63049999999998</v>
      </c>
    </row>
    <row r="242" spans="1:10" x14ac:dyDescent="0.25">
      <c r="A242">
        <v>2022</v>
      </c>
      <c r="B242" t="s">
        <v>7</v>
      </c>
      <c r="C242" t="s">
        <v>20</v>
      </c>
      <c r="D242">
        <v>1882</v>
      </c>
      <c r="E242">
        <v>1274114</v>
      </c>
      <c r="F242">
        <v>944358</v>
      </c>
      <c r="G242" t="s">
        <v>9</v>
      </c>
      <c r="H242">
        <v>329756</v>
      </c>
      <c r="I242">
        <v>677</v>
      </c>
      <c r="J242">
        <v>501.78429999999997</v>
      </c>
    </row>
    <row r="243" spans="1:10" x14ac:dyDescent="0.25">
      <c r="A243">
        <v>2023</v>
      </c>
      <c r="B243" t="s">
        <v>17</v>
      </c>
      <c r="C243" t="s">
        <v>8</v>
      </c>
      <c r="D243">
        <v>393</v>
      </c>
      <c r="E243">
        <v>231477</v>
      </c>
      <c r="F243">
        <v>142937</v>
      </c>
      <c r="G243" t="s">
        <v>13</v>
      </c>
      <c r="H243">
        <v>88540</v>
      </c>
      <c r="I243">
        <v>589</v>
      </c>
      <c r="J243">
        <v>363.70740000000001</v>
      </c>
    </row>
    <row r="244" spans="1:10" x14ac:dyDescent="0.25">
      <c r="A244">
        <v>2018</v>
      </c>
      <c r="B244" t="s">
        <v>7</v>
      </c>
      <c r="C244" t="s">
        <v>14</v>
      </c>
      <c r="D244">
        <v>1207</v>
      </c>
      <c r="E244">
        <v>522631</v>
      </c>
      <c r="F244">
        <v>360212</v>
      </c>
      <c r="G244" t="s">
        <v>15</v>
      </c>
      <c r="H244">
        <v>162419</v>
      </c>
      <c r="I244">
        <v>433</v>
      </c>
      <c r="J244">
        <v>298.43579999999997</v>
      </c>
    </row>
    <row r="245" spans="1:10" x14ac:dyDescent="0.25">
      <c r="A245">
        <v>2021</v>
      </c>
      <c r="B245" t="s">
        <v>17</v>
      </c>
      <c r="C245" t="s">
        <v>23</v>
      </c>
      <c r="D245">
        <v>807</v>
      </c>
      <c r="E245">
        <v>382518</v>
      </c>
      <c r="F245">
        <v>266451</v>
      </c>
      <c r="G245" t="s">
        <v>15</v>
      </c>
      <c r="H245">
        <v>116067</v>
      </c>
      <c r="I245">
        <v>474</v>
      </c>
      <c r="J245">
        <v>330.17469999999997</v>
      </c>
    </row>
    <row r="246" spans="1:10" x14ac:dyDescent="0.25">
      <c r="A246">
        <v>2023</v>
      </c>
      <c r="B246" t="s">
        <v>7</v>
      </c>
      <c r="C246" t="s">
        <v>21</v>
      </c>
      <c r="D246">
        <v>295</v>
      </c>
      <c r="E246">
        <v>155465</v>
      </c>
      <c r="F246">
        <v>96753</v>
      </c>
      <c r="G246" t="s">
        <v>13</v>
      </c>
      <c r="H246">
        <v>58712</v>
      </c>
      <c r="I246">
        <v>527</v>
      </c>
      <c r="J246">
        <v>327.97629999999998</v>
      </c>
    </row>
    <row r="247" spans="1:10" x14ac:dyDescent="0.25">
      <c r="A247">
        <v>2018</v>
      </c>
      <c r="B247" t="s">
        <v>12</v>
      </c>
      <c r="C247" t="s">
        <v>14</v>
      </c>
      <c r="D247">
        <v>1298</v>
      </c>
      <c r="E247">
        <v>806058</v>
      </c>
      <c r="F247">
        <v>581004</v>
      </c>
      <c r="G247" t="s">
        <v>15</v>
      </c>
      <c r="H247">
        <v>225054</v>
      </c>
      <c r="I247">
        <v>621</v>
      </c>
      <c r="J247">
        <v>447.6148</v>
      </c>
    </row>
    <row r="248" spans="1:10" x14ac:dyDescent="0.25">
      <c r="A248">
        <v>2021</v>
      </c>
      <c r="B248" t="s">
        <v>17</v>
      </c>
      <c r="C248" t="s">
        <v>18</v>
      </c>
      <c r="D248">
        <v>1431</v>
      </c>
      <c r="E248">
        <v>716931</v>
      </c>
      <c r="F248">
        <v>520885</v>
      </c>
      <c r="G248" t="s">
        <v>15</v>
      </c>
      <c r="H248">
        <v>196046</v>
      </c>
      <c r="I248">
        <v>501</v>
      </c>
      <c r="J248">
        <v>364.00069999999999</v>
      </c>
    </row>
    <row r="249" spans="1:10" x14ac:dyDescent="0.25">
      <c r="A249">
        <v>2023</v>
      </c>
      <c r="B249" t="s">
        <v>17</v>
      </c>
      <c r="C249" t="s">
        <v>24</v>
      </c>
      <c r="D249">
        <v>1097</v>
      </c>
      <c r="E249">
        <v>564955</v>
      </c>
      <c r="F249">
        <v>341774</v>
      </c>
      <c r="G249" t="s">
        <v>13</v>
      </c>
      <c r="H249">
        <v>223181</v>
      </c>
      <c r="I249">
        <v>515</v>
      </c>
      <c r="J249">
        <v>311.55329999999998</v>
      </c>
    </row>
    <row r="250" spans="1:10" x14ac:dyDescent="0.25">
      <c r="A250">
        <v>2019</v>
      </c>
      <c r="B250" t="s">
        <v>12</v>
      </c>
      <c r="C250" t="s">
        <v>18</v>
      </c>
      <c r="D250">
        <v>1412</v>
      </c>
      <c r="E250">
        <v>864144</v>
      </c>
      <c r="F250">
        <v>631187</v>
      </c>
      <c r="G250" t="s">
        <v>15</v>
      </c>
      <c r="H250">
        <v>232957</v>
      </c>
      <c r="I250">
        <v>612</v>
      </c>
      <c r="J250">
        <v>447.0163</v>
      </c>
    </row>
    <row r="251" spans="1:10" x14ac:dyDescent="0.25">
      <c r="A251">
        <v>2018</v>
      </c>
      <c r="B251" t="s">
        <v>22</v>
      </c>
      <c r="C251" t="s">
        <v>21</v>
      </c>
      <c r="D251">
        <v>732</v>
      </c>
      <c r="E251">
        <v>488244</v>
      </c>
      <c r="F251">
        <v>366599</v>
      </c>
      <c r="G251" t="s">
        <v>15</v>
      </c>
      <c r="H251">
        <v>121645</v>
      </c>
      <c r="I251">
        <v>667</v>
      </c>
      <c r="J251">
        <v>500.81830000000002</v>
      </c>
    </row>
    <row r="252" spans="1:10" x14ac:dyDescent="0.25">
      <c r="A252">
        <v>2018</v>
      </c>
      <c r="B252" t="s">
        <v>10</v>
      </c>
      <c r="C252" t="s">
        <v>21</v>
      </c>
      <c r="D252">
        <v>651</v>
      </c>
      <c r="E252">
        <v>322896</v>
      </c>
      <c r="F252">
        <v>253848</v>
      </c>
      <c r="G252" t="s">
        <v>13</v>
      </c>
      <c r="H252">
        <v>69048</v>
      </c>
      <c r="I252">
        <v>496</v>
      </c>
      <c r="J252">
        <v>389.93549999999999</v>
      </c>
    </row>
    <row r="253" spans="1:10" x14ac:dyDescent="0.25">
      <c r="A253">
        <v>2021</v>
      </c>
      <c r="B253" t="s">
        <v>12</v>
      </c>
      <c r="C253" t="s">
        <v>8</v>
      </c>
      <c r="D253">
        <v>226</v>
      </c>
      <c r="E253">
        <v>129272</v>
      </c>
      <c r="F253">
        <v>90877</v>
      </c>
      <c r="G253" t="s">
        <v>15</v>
      </c>
      <c r="H253">
        <v>38395</v>
      </c>
      <c r="I253">
        <v>572</v>
      </c>
      <c r="J253">
        <v>402.11059999999998</v>
      </c>
    </row>
    <row r="254" spans="1:10" x14ac:dyDescent="0.25">
      <c r="A254">
        <v>2020</v>
      </c>
      <c r="B254" t="s">
        <v>16</v>
      </c>
      <c r="C254" t="s">
        <v>8</v>
      </c>
      <c r="D254">
        <v>565</v>
      </c>
      <c r="E254">
        <v>314705</v>
      </c>
      <c r="F254">
        <v>248577</v>
      </c>
      <c r="G254" t="s">
        <v>13</v>
      </c>
      <c r="H254">
        <v>66128</v>
      </c>
      <c r="I254">
        <v>557</v>
      </c>
      <c r="J254">
        <v>439.95929999999998</v>
      </c>
    </row>
    <row r="255" spans="1:10" x14ac:dyDescent="0.25">
      <c r="A255">
        <v>2020</v>
      </c>
      <c r="B255" t="s">
        <v>10</v>
      </c>
      <c r="C255" t="s">
        <v>18</v>
      </c>
      <c r="D255">
        <v>1792</v>
      </c>
      <c r="E255">
        <v>1053696</v>
      </c>
      <c r="F255">
        <v>644833</v>
      </c>
      <c r="G255" t="s">
        <v>13</v>
      </c>
      <c r="H255">
        <v>408863</v>
      </c>
      <c r="I255">
        <v>588</v>
      </c>
      <c r="J255">
        <v>359.83980000000003</v>
      </c>
    </row>
    <row r="256" spans="1:10" x14ac:dyDescent="0.25">
      <c r="A256">
        <v>2023</v>
      </c>
      <c r="B256" t="s">
        <v>7</v>
      </c>
      <c r="C256" t="s">
        <v>18</v>
      </c>
      <c r="D256">
        <v>1575</v>
      </c>
      <c r="E256">
        <v>787500</v>
      </c>
      <c r="F256">
        <v>490621</v>
      </c>
      <c r="G256" t="s">
        <v>15</v>
      </c>
      <c r="H256">
        <v>296879</v>
      </c>
      <c r="I256">
        <v>500</v>
      </c>
      <c r="J256">
        <v>311.50540000000001</v>
      </c>
    </row>
    <row r="257" spans="1:10" x14ac:dyDescent="0.25">
      <c r="A257">
        <v>2021</v>
      </c>
      <c r="B257" t="s">
        <v>16</v>
      </c>
      <c r="C257" t="s">
        <v>20</v>
      </c>
      <c r="D257">
        <v>1909</v>
      </c>
      <c r="E257">
        <v>790326</v>
      </c>
      <c r="F257">
        <v>519511</v>
      </c>
      <c r="G257" t="s">
        <v>15</v>
      </c>
      <c r="H257">
        <v>270815</v>
      </c>
      <c r="I257">
        <v>414</v>
      </c>
      <c r="J257">
        <v>272.13780000000003</v>
      </c>
    </row>
    <row r="258" spans="1:10" x14ac:dyDescent="0.25">
      <c r="A258">
        <v>2021</v>
      </c>
      <c r="B258" t="s">
        <v>22</v>
      </c>
      <c r="C258" t="s">
        <v>11</v>
      </c>
      <c r="D258">
        <v>669</v>
      </c>
      <c r="E258">
        <v>361929</v>
      </c>
      <c r="F258">
        <v>262523</v>
      </c>
      <c r="G258" t="s">
        <v>13</v>
      </c>
      <c r="H258">
        <v>99406</v>
      </c>
      <c r="I258">
        <v>541</v>
      </c>
      <c r="J258">
        <v>392.41109999999998</v>
      </c>
    </row>
    <row r="259" spans="1:10" x14ac:dyDescent="0.25">
      <c r="A259">
        <v>2023</v>
      </c>
      <c r="B259" t="s">
        <v>16</v>
      </c>
      <c r="C259" t="s">
        <v>19</v>
      </c>
      <c r="D259">
        <v>1747</v>
      </c>
      <c r="E259">
        <v>756451</v>
      </c>
      <c r="F259">
        <v>541178</v>
      </c>
      <c r="G259" t="s">
        <v>9</v>
      </c>
      <c r="H259">
        <v>215273</v>
      </c>
      <c r="I259">
        <v>433</v>
      </c>
      <c r="J259">
        <v>309.7756</v>
      </c>
    </row>
    <row r="260" spans="1:10" x14ac:dyDescent="0.25">
      <c r="A260">
        <v>2018</v>
      </c>
      <c r="B260" t="s">
        <v>10</v>
      </c>
      <c r="C260" t="s">
        <v>23</v>
      </c>
      <c r="D260">
        <v>673</v>
      </c>
      <c r="E260">
        <v>362074</v>
      </c>
      <c r="F260">
        <v>248914</v>
      </c>
      <c r="G260" t="s">
        <v>13</v>
      </c>
      <c r="H260">
        <v>113160</v>
      </c>
      <c r="I260">
        <v>538</v>
      </c>
      <c r="J260">
        <v>369.85739999999998</v>
      </c>
    </row>
    <row r="261" spans="1:10" x14ac:dyDescent="0.25">
      <c r="A261">
        <v>2023</v>
      </c>
      <c r="B261" t="s">
        <v>17</v>
      </c>
      <c r="C261" t="s">
        <v>23</v>
      </c>
      <c r="D261">
        <v>1624</v>
      </c>
      <c r="E261">
        <v>1066968</v>
      </c>
      <c r="F261">
        <v>805224</v>
      </c>
      <c r="G261" t="s">
        <v>15</v>
      </c>
      <c r="H261">
        <v>261744</v>
      </c>
      <c r="I261">
        <v>657</v>
      </c>
      <c r="J261">
        <v>495.82760000000002</v>
      </c>
    </row>
    <row r="262" spans="1:10" x14ac:dyDescent="0.25">
      <c r="A262">
        <v>2019</v>
      </c>
      <c r="B262" t="s">
        <v>12</v>
      </c>
      <c r="C262" t="s">
        <v>18</v>
      </c>
      <c r="D262">
        <v>822</v>
      </c>
      <c r="E262">
        <v>552384</v>
      </c>
      <c r="F262">
        <v>424183</v>
      </c>
      <c r="G262" t="s">
        <v>9</v>
      </c>
      <c r="H262">
        <v>128201</v>
      </c>
      <c r="I262">
        <v>672</v>
      </c>
      <c r="J262">
        <v>516.03769999999997</v>
      </c>
    </row>
    <row r="263" spans="1:10" x14ac:dyDescent="0.25">
      <c r="A263">
        <v>2022</v>
      </c>
      <c r="B263" t="s">
        <v>16</v>
      </c>
      <c r="C263" t="s">
        <v>20</v>
      </c>
      <c r="D263">
        <v>560</v>
      </c>
      <c r="E263">
        <v>390320</v>
      </c>
      <c r="F263">
        <v>300599</v>
      </c>
      <c r="G263" t="s">
        <v>9</v>
      </c>
      <c r="H263">
        <v>89721</v>
      </c>
      <c r="I263">
        <v>697</v>
      </c>
      <c r="J263">
        <v>536.78390000000002</v>
      </c>
    </row>
    <row r="264" spans="1:10" x14ac:dyDescent="0.25">
      <c r="A264">
        <v>2022</v>
      </c>
      <c r="B264" t="s">
        <v>12</v>
      </c>
      <c r="C264" t="s">
        <v>20</v>
      </c>
      <c r="D264">
        <v>818</v>
      </c>
      <c r="E264">
        <v>495708</v>
      </c>
      <c r="F264">
        <v>340197</v>
      </c>
      <c r="G264" t="s">
        <v>9</v>
      </c>
      <c r="H264">
        <v>155511</v>
      </c>
      <c r="I264">
        <v>606</v>
      </c>
      <c r="J264">
        <v>415.8888</v>
      </c>
    </row>
    <row r="265" spans="1:10" x14ac:dyDescent="0.25">
      <c r="A265">
        <v>2018</v>
      </c>
      <c r="B265" t="s">
        <v>10</v>
      </c>
      <c r="C265" t="s">
        <v>11</v>
      </c>
      <c r="D265">
        <v>1312</v>
      </c>
      <c r="E265">
        <v>657312</v>
      </c>
      <c r="F265">
        <v>401091</v>
      </c>
      <c r="G265" t="s">
        <v>13</v>
      </c>
      <c r="H265">
        <v>256221</v>
      </c>
      <c r="I265">
        <v>501</v>
      </c>
      <c r="J265">
        <v>305.70960000000002</v>
      </c>
    </row>
    <row r="266" spans="1:10" x14ac:dyDescent="0.25">
      <c r="A266">
        <v>2019</v>
      </c>
      <c r="B266" t="s">
        <v>17</v>
      </c>
      <c r="C266" t="s">
        <v>21</v>
      </c>
      <c r="D266">
        <v>1829</v>
      </c>
      <c r="E266">
        <v>859630</v>
      </c>
      <c r="F266">
        <v>640093</v>
      </c>
      <c r="G266" t="s">
        <v>13</v>
      </c>
      <c r="H266">
        <v>219537</v>
      </c>
      <c r="I266">
        <v>470</v>
      </c>
      <c r="J266">
        <v>349.96879999999999</v>
      </c>
    </row>
    <row r="267" spans="1:10" x14ac:dyDescent="0.25">
      <c r="A267">
        <v>2022</v>
      </c>
      <c r="B267" t="s">
        <v>7</v>
      </c>
      <c r="C267" t="s">
        <v>20</v>
      </c>
      <c r="D267">
        <v>228</v>
      </c>
      <c r="E267">
        <v>135204</v>
      </c>
      <c r="F267">
        <v>99808</v>
      </c>
      <c r="G267" t="s">
        <v>13</v>
      </c>
      <c r="H267">
        <v>35396</v>
      </c>
      <c r="I267">
        <v>593</v>
      </c>
      <c r="J267">
        <v>437.75439999999998</v>
      </c>
    </row>
    <row r="268" spans="1:10" x14ac:dyDescent="0.25">
      <c r="A268">
        <v>2022</v>
      </c>
      <c r="B268" t="s">
        <v>16</v>
      </c>
      <c r="C268" t="s">
        <v>21</v>
      </c>
      <c r="D268">
        <v>552</v>
      </c>
      <c r="E268">
        <v>311880</v>
      </c>
      <c r="F268">
        <v>247706</v>
      </c>
      <c r="G268" t="s">
        <v>9</v>
      </c>
      <c r="H268">
        <v>64174</v>
      </c>
      <c r="I268">
        <v>565</v>
      </c>
      <c r="J268">
        <v>448.74279999999999</v>
      </c>
    </row>
    <row r="269" spans="1:10" x14ac:dyDescent="0.25">
      <c r="A269">
        <v>2023</v>
      </c>
      <c r="B269" t="s">
        <v>16</v>
      </c>
      <c r="C269" t="s">
        <v>20</v>
      </c>
      <c r="D269">
        <v>1394</v>
      </c>
      <c r="E269">
        <v>949314</v>
      </c>
      <c r="F269">
        <v>650045</v>
      </c>
      <c r="G269" t="s">
        <v>13</v>
      </c>
      <c r="H269">
        <v>299269</v>
      </c>
      <c r="I269">
        <v>681</v>
      </c>
      <c r="J269">
        <v>466.31639999999999</v>
      </c>
    </row>
    <row r="270" spans="1:10" x14ac:dyDescent="0.25">
      <c r="A270">
        <v>2019</v>
      </c>
      <c r="B270" t="s">
        <v>10</v>
      </c>
      <c r="C270" t="s">
        <v>18</v>
      </c>
      <c r="D270">
        <v>1242</v>
      </c>
      <c r="E270">
        <v>539028</v>
      </c>
      <c r="F270">
        <v>409737</v>
      </c>
      <c r="G270" t="s">
        <v>9</v>
      </c>
      <c r="H270">
        <v>129291</v>
      </c>
      <c r="I270">
        <v>434</v>
      </c>
      <c r="J270">
        <v>329.90100000000001</v>
      </c>
    </row>
    <row r="271" spans="1:10" x14ac:dyDescent="0.25">
      <c r="A271">
        <v>2023</v>
      </c>
      <c r="B271" t="s">
        <v>16</v>
      </c>
      <c r="C271" t="s">
        <v>18</v>
      </c>
      <c r="D271">
        <v>1793</v>
      </c>
      <c r="E271">
        <v>952083</v>
      </c>
      <c r="F271">
        <v>655919</v>
      </c>
      <c r="G271" t="s">
        <v>15</v>
      </c>
      <c r="H271">
        <v>296164</v>
      </c>
      <c r="I271">
        <v>531</v>
      </c>
      <c r="J271">
        <v>365.82209999999998</v>
      </c>
    </row>
    <row r="272" spans="1:10" x14ac:dyDescent="0.25">
      <c r="A272">
        <v>2023</v>
      </c>
      <c r="B272" t="s">
        <v>12</v>
      </c>
      <c r="C272" t="s">
        <v>24</v>
      </c>
      <c r="D272">
        <v>1922</v>
      </c>
      <c r="E272">
        <v>837992</v>
      </c>
      <c r="F272">
        <v>661194</v>
      </c>
      <c r="G272" t="s">
        <v>9</v>
      </c>
      <c r="H272">
        <v>176798</v>
      </c>
      <c r="I272">
        <v>436</v>
      </c>
      <c r="J272">
        <v>344.01350000000002</v>
      </c>
    </row>
    <row r="273" spans="1:10" x14ac:dyDescent="0.25">
      <c r="A273">
        <v>2020</v>
      </c>
      <c r="B273" t="s">
        <v>17</v>
      </c>
      <c r="C273" t="s">
        <v>23</v>
      </c>
      <c r="D273">
        <v>1725</v>
      </c>
      <c r="E273">
        <v>864225</v>
      </c>
      <c r="F273">
        <v>642316</v>
      </c>
      <c r="G273" t="s">
        <v>13</v>
      </c>
      <c r="H273">
        <v>221909</v>
      </c>
      <c r="I273">
        <v>501</v>
      </c>
      <c r="J273">
        <v>372.3571</v>
      </c>
    </row>
    <row r="274" spans="1:10" x14ac:dyDescent="0.25">
      <c r="A274">
        <v>2021</v>
      </c>
      <c r="B274" t="s">
        <v>16</v>
      </c>
      <c r="C274" t="s">
        <v>14</v>
      </c>
      <c r="D274">
        <v>935</v>
      </c>
      <c r="E274">
        <v>411400</v>
      </c>
      <c r="F274">
        <v>267480</v>
      </c>
      <c r="G274" t="s">
        <v>9</v>
      </c>
      <c r="H274">
        <v>143920</v>
      </c>
      <c r="I274">
        <v>440</v>
      </c>
      <c r="J274">
        <v>286.07490000000001</v>
      </c>
    </row>
    <row r="275" spans="1:10" x14ac:dyDescent="0.25">
      <c r="A275">
        <v>2018</v>
      </c>
      <c r="B275" t="s">
        <v>12</v>
      </c>
      <c r="C275" t="s">
        <v>8</v>
      </c>
      <c r="D275">
        <v>1512</v>
      </c>
      <c r="E275">
        <v>675864</v>
      </c>
      <c r="F275">
        <v>446137</v>
      </c>
      <c r="G275" t="s">
        <v>15</v>
      </c>
      <c r="H275">
        <v>229727</v>
      </c>
      <c r="I275">
        <v>447</v>
      </c>
      <c r="J275">
        <v>295.06420000000003</v>
      </c>
    </row>
    <row r="276" spans="1:10" x14ac:dyDescent="0.25">
      <c r="A276">
        <v>2018</v>
      </c>
      <c r="B276" t="s">
        <v>22</v>
      </c>
      <c r="C276" t="s">
        <v>18</v>
      </c>
      <c r="D276">
        <v>1798</v>
      </c>
      <c r="E276">
        <v>963728</v>
      </c>
      <c r="F276">
        <v>736162</v>
      </c>
      <c r="G276" t="s">
        <v>9</v>
      </c>
      <c r="H276">
        <v>227566</v>
      </c>
      <c r="I276">
        <v>536</v>
      </c>
      <c r="J276">
        <v>409.43380000000002</v>
      </c>
    </row>
    <row r="277" spans="1:10" x14ac:dyDescent="0.25">
      <c r="A277">
        <v>2020</v>
      </c>
      <c r="B277" t="s">
        <v>7</v>
      </c>
      <c r="C277" t="s">
        <v>23</v>
      </c>
      <c r="D277">
        <v>1366</v>
      </c>
      <c r="E277">
        <v>758130</v>
      </c>
      <c r="F277">
        <v>558771</v>
      </c>
      <c r="G277" t="s">
        <v>15</v>
      </c>
      <c r="H277">
        <v>199359</v>
      </c>
      <c r="I277">
        <v>555</v>
      </c>
      <c r="J277">
        <v>409.0564</v>
      </c>
    </row>
    <row r="278" spans="1:10" x14ac:dyDescent="0.25">
      <c r="A278">
        <v>2023</v>
      </c>
      <c r="B278" t="s">
        <v>7</v>
      </c>
      <c r="C278" t="s">
        <v>21</v>
      </c>
      <c r="D278">
        <v>1235</v>
      </c>
      <c r="E278">
        <v>838565</v>
      </c>
      <c r="F278">
        <v>542422</v>
      </c>
      <c r="G278" t="s">
        <v>13</v>
      </c>
      <c r="H278">
        <v>296143</v>
      </c>
      <c r="I278">
        <v>679</v>
      </c>
      <c r="J278">
        <v>439.2081</v>
      </c>
    </row>
    <row r="279" spans="1:10" x14ac:dyDescent="0.25">
      <c r="A279">
        <v>2021</v>
      </c>
      <c r="B279" t="s">
        <v>10</v>
      </c>
      <c r="C279" t="s">
        <v>19</v>
      </c>
      <c r="D279">
        <v>1205</v>
      </c>
      <c r="E279">
        <v>831450</v>
      </c>
      <c r="F279">
        <v>511035</v>
      </c>
      <c r="G279" t="s">
        <v>9</v>
      </c>
      <c r="H279">
        <v>320415</v>
      </c>
      <c r="I279">
        <v>690</v>
      </c>
      <c r="J279">
        <v>424.09539999999998</v>
      </c>
    </row>
    <row r="280" spans="1:10" x14ac:dyDescent="0.25">
      <c r="A280">
        <v>2019</v>
      </c>
      <c r="B280" t="s">
        <v>16</v>
      </c>
      <c r="C280" t="s">
        <v>18</v>
      </c>
      <c r="D280">
        <v>824</v>
      </c>
      <c r="E280">
        <v>482864</v>
      </c>
      <c r="F280">
        <v>319551</v>
      </c>
      <c r="G280" t="s">
        <v>9</v>
      </c>
      <c r="H280">
        <v>163313</v>
      </c>
      <c r="I280">
        <v>586</v>
      </c>
      <c r="J280">
        <v>387.80459999999999</v>
      </c>
    </row>
    <row r="281" spans="1:10" x14ac:dyDescent="0.25">
      <c r="A281">
        <v>2019</v>
      </c>
      <c r="B281" t="s">
        <v>16</v>
      </c>
      <c r="C281" t="s">
        <v>8</v>
      </c>
      <c r="D281">
        <v>1217</v>
      </c>
      <c r="E281">
        <v>703426</v>
      </c>
      <c r="F281">
        <v>514561</v>
      </c>
      <c r="G281" t="s">
        <v>9</v>
      </c>
      <c r="H281">
        <v>188865</v>
      </c>
      <c r="I281">
        <v>578</v>
      </c>
      <c r="J281">
        <v>422.81099999999998</v>
      </c>
    </row>
    <row r="282" spans="1:10" x14ac:dyDescent="0.25">
      <c r="A282">
        <v>2019</v>
      </c>
      <c r="B282" t="s">
        <v>7</v>
      </c>
      <c r="C282" t="s">
        <v>20</v>
      </c>
      <c r="D282">
        <v>950</v>
      </c>
      <c r="E282">
        <v>581400</v>
      </c>
      <c r="F282">
        <v>431218</v>
      </c>
      <c r="G282" t="s">
        <v>15</v>
      </c>
      <c r="H282">
        <v>150182</v>
      </c>
      <c r="I282">
        <v>612</v>
      </c>
      <c r="J282">
        <v>453.91370000000001</v>
      </c>
    </row>
    <row r="283" spans="1:10" x14ac:dyDescent="0.25">
      <c r="A283">
        <v>2023</v>
      </c>
      <c r="B283" t="s">
        <v>16</v>
      </c>
      <c r="C283" t="s">
        <v>20</v>
      </c>
      <c r="D283">
        <v>474</v>
      </c>
      <c r="E283">
        <v>313788</v>
      </c>
      <c r="F283">
        <v>213967</v>
      </c>
      <c r="G283" t="s">
        <v>9</v>
      </c>
      <c r="H283">
        <v>99821</v>
      </c>
      <c r="I283">
        <v>662</v>
      </c>
      <c r="J283">
        <v>451.40719999999999</v>
      </c>
    </row>
    <row r="284" spans="1:10" x14ac:dyDescent="0.25">
      <c r="A284">
        <v>2018</v>
      </c>
      <c r="B284" t="s">
        <v>22</v>
      </c>
      <c r="C284" t="s">
        <v>21</v>
      </c>
      <c r="D284">
        <v>1105</v>
      </c>
      <c r="E284">
        <v>550290</v>
      </c>
      <c r="F284">
        <v>417619</v>
      </c>
      <c r="G284" t="s">
        <v>15</v>
      </c>
      <c r="H284">
        <v>132671</v>
      </c>
      <c r="I284">
        <v>498</v>
      </c>
      <c r="J284">
        <v>377.9357</v>
      </c>
    </row>
    <row r="285" spans="1:10" x14ac:dyDescent="0.25">
      <c r="A285">
        <v>2021</v>
      </c>
      <c r="B285" t="s">
        <v>10</v>
      </c>
      <c r="C285" t="s">
        <v>18</v>
      </c>
      <c r="D285">
        <v>792</v>
      </c>
      <c r="E285">
        <v>431640</v>
      </c>
      <c r="F285">
        <v>340354</v>
      </c>
      <c r="G285" t="s">
        <v>13</v>
      </c>
      <c r="H285">
        <v>91286</v>
      </c>
      <c r="I285">
        <v>545</v>
      </c>
      <c r="J285">
        <v>429.73989999999998</v>
      </c>
    </row>
    <row r="286" spans="1:10" x14ac:dyDescent="0.25">
      <c r="A286">
        <v>2019</v>
      </c>
      <c r="B286" t="s">
        <v>10</v>
      </c>
      <c r="C286" t="s">
        <v>19</v>
      </c>
      <c r="D286">
        <v>274</v>
      </c>
      <c r="E286">
        <v>136726</v>
      </c>
      <c r="F286">
        <v>108568</v>
      </c>
      <c r="G286" t="s">
        <v>15</v>
      </c>
      <c r="H286">
        <v>28158</v>
      </c>
      <c r="I286">
        <v>499</v>
      </c>
      <c r="J286">
        <v>396.23360000000002</v>
      </c>
    </row>
    <row r="287" spans="1:10" x14ac:dyDescent="0.25">
      <c r="A287">
        <v>2018</v>
      </c>
      <c r="B287" t="s">
        <v>16</v>
      </c>
      <c r="C287" t="s">
        <v>23</v>
      </c>
      <c r="D287">
        <v>1915</v>
      </c>
      <c r="E287">
        <v>963245</v>
      </c>
      <c r="F287">
        <v>755954</v>
      </c>
      <c r="G287" t="s">
        <v>13</v>
      </c>
      <c r="H287">
        <v>207291</v>
      </c>
      <c r="I287">
        <v>503</v>
      </c>
      <c r="J287">
        <v>394.75400000000002</v>
      </c>
    </row>
    <row r="288" spans="1:10" x14ac:dyDescent="0.25">
      <c r="A288">
        <v>2021</v>
      </c>
      <c r="B288" t="s">
        <v>17</v>
      </c>
      <c r="C288" t="s">
        <v>24</v>
      </c>
      <c r="D288">
        <v>1403</v>
      </c>
      <c r="E288">
        <v>979294</v>
      </c>
      <c r="F288">
        <v>683696</v>
      </c>
      <c r="G288" t="s">
        <v>13</v>
      </c>
      <c r="H288">
        <v>295598</v>
      </c>
      <c r="I288">
        <v>698</v>
      </c>
      <c r="J288">
        <v>487.31</v>
      </c>
    </row>
    <row r="289" spans="1:10" x14ac:dyDescent="0.25">
      <c r="A289">
        <v>2019</v>
      </c>
      <c r="B289" t="s">
        <v>10</v>
      </c>
      <c r="C289" t="s">
        <v>21</v>
      </c>
      <c r="D289">
        <v>655</v>
      </c>
      <c r="E289">
        <v>423785</v>
      </c>
      <c r="F289">
        <v>275862</v>
      </c>
      <c r="G289" t="s">
        <v>15</v>
      </c>
      <c r="H289">
        <v>147923</v>
      </c>
      <c r="I289">
        <v>647</v>
      </c>
      <c r="J289">
        <v>421.16340000000002</v>
      </c>
    </row>
    <row r="290" spans="1:10" x14ac:dyDescent="0.25">
      <c r="A290">
        <v>2021</v>
      </c>
      <c r="B290" t="s">
        <v>17</v>
      </c>
      <c r="C290" t="s">
        <v>19</v>
      </c>
      <c r="D290">
        <v>848</v>
      </c>
      <c r="E290">
        <v>424848</v>
      </c>
      <c r="F290">
        <v>314450</v>
      </c>
      <c r="G290" t="s">
        <v>9</v>
      </c>
      <c r="H290">
        <v>110398</v>
      </c>
      <c r="I290">
        <v>501</v>
      </c>
      <c r="J290">
        <v>370.81369999999998</v>
      </c>
    </row>
    <row r="291" spans="1:10" x14ac:dyDescent="0.25">
      <c r="A291">
        <v>2021</v>
      </c>
      <c r="B291" t="s">
        <v>16</v>
      </c>
      <c r="C291" t="s">
        <v>19</v>
      </c>
      <c r="D291">
        <v>579</v>
      </c>
      <c r="E291">
        <v>304554</v>
      </c>
      <c r="F291">
        <v>192085</v>
      </c>
      <c r="G291" t="s">
        <v>9</v>
      </c>
      <c r="H291">
        <v>112469</v>
      </c>
      <c r="I291">
        <v>526</v>
      </c>
      <c r="J291">
        <v>331.75299999999999</v>
      </c>
    </row>
    <row r="292" spans="1:10" x14ac:dyDescent="0.25">
      <c r="A292">
        <v>2020</v>
      </c>
      <c r="B292" t="s">
        <v>7</v>
      </c>
      <c r="C292" t="s">
        <v>23</v>
      </c>
      <c r="D292">
        <v>1245</v>
      </c>
      <c r="E292">
        <v>531615</v>
      </c>
      <c r="F292">
        <v>418985</v>
      </c>
      <c r="G292" t="s">
        <v>9</v>
      </c>
      <c r="H292">
        <v>112630</v>
      </c>
      <c r="I292">
        <v>427</v>
      </c>
      <c r="J292">
        <v>336.53410000000002</v>
      </c>
    </row>
    <row r="293" spans="1:10" x14ac:dyDescent="0.25">
      <c r="A293">
        <v>2020</v>
      </c>
      <c r="B293" t="s">
        <v>12</v>
      </c>
      <c r="C293" t="s">
        <v>23</v>
      </c>
      <c r="D293">
        <v>1518</v>
      </c>
      <c r="E293">
        <v>677028</v>
      </c>
      <c r="F293">
        <v>534337</v>
      </c>
      <c r="G293" t="s">
        <v>9</v>
      </c>
      <c r="H293">
        <v>142691</v>
      </c>
      <c r="I293">
        <v>446</v>
      </c>
      <c r="J293">
        <v>352.00069999999999</v>
      </c>
    </row>
    <row r="294" spans="1:10" x14ac:dyDescent="0.25">
      <c r="A294">
        <v>2022</v>
      </c>
      <c r="B294" t="s">
        <v>12</v>
      </c>
      <c r="C294" t="s">
        <v>11</v>
      </c>
      <c r="D294">
        <v>1112</v>
      </c>
      <c r="E294">
        <v>674984</v>
      </c>
      <c r="F294">
        <v>524572</v>
      </c>
      <c r="G294" t="s">
        <v>9</v>
      </c>
      <c r="H294">
        <v>150412</v>
      </c>
      <c r="I294">
        <v>607</v>
      </c>
      <c r="J294">
        <v>471.73739999999998</v>
      </c>
    </row>
    <row r="295" spans="1:10" x14ac:dyDescent="0.25">
      <c r="A295">
        <v>2022</v>
      </c>
      <c r="B295" t="s">
        <v>16</v>
      </c>
      <c r="C295" t="s">
        <v>8</v>
      </c>
      <c r="D295">
        <v>1978</v>
      </c>
      <c r="E295">
        <v>838672</v>
      </c>
      <c r="F295">
        <v>635153</v>
      </c>
      <c r="G295" t="s">
        <v>9</v>
      </c>
      <c r="H295">
        <v>203519</v>
      </c>
      <c r="I295">
        <v>424</v>
      </c>
      <c r="J295">
        <v>321.1087</v>
      </c>
    </row>
    <row r="296" spans="1:10" x14ac:dyDescent="0.25">
      <c r="A296">
        <v>2022</v>
      </c>
      <c r="B296" t="s">
        <v>7</v>
      </c>
      <c r="C296" t="s">
        <v>19</v>
      </c>
      <c r="D296">
        <v>1811</v>
      </c>
      <c r="E296">
        <v>965263</v>
      </c>
      <c r="F296">
        <v>702009</v>
      </c>
      <c r="G296" t="s">
        <v>13</v>
      </c>
      <c r="H296">
        <v>263254</v>
      </c>
      <c r="I296">
        <v>533</v>
      </c>
      <c r="J296">
        <v>387.6361</v>
      </c>
    </row>
    <row r="297" spans="1:10" x14ac:dyDescent="0.25">
      <c r="A297">
        <v>2018</v>
      </c>
      <c r="B297" t="s">
        <v>10</v>
      </c>
      <c r="C297" t="s">
        <v>19</v>
      </c>
      <c r="D297">
        <v>1911</v>
      </c>
      <c r="E297">
        <v>888615</v>
      </c>
      <c r="F297">
        <v>652977</v>
      </c>
      <c r="G297" t="s">
        <v>15</v>
      </c>
      <c r="H297">
        <v>235638</v>
      </c>
      <c r="I297">
        <v>465</v>
      </c>
      <c r="J297">
        <v>341.69389999999999</v>
      </c>
    </row>
    <row r="298" spans="1:10" x14ac:dyDescent="0.25">
      <c r="A298">
        <v>2022</v>
      </c>
      <c r="B298" t="s">
        <v>7</v>
      </c>
      <c r="C298" t="s">
        <v>14</v>
      </c>
      <c r="D298">
        <v>1531</v>
      </c>
      <c r="E298">
        <v>655268</v>
      </c>
      <c r="F298">
        <v>432810</v>
      </c>
      <c r="G298" t="s">
        <v>9</v>
      </c>
      <c r="H298">
        <v>222458</v>
      </c>
      <c r="I298">
        <v>428</v>
      </c>
      <c r="J298">
        <v>282.69760000000002</v>
      </c>
    </row>
    <row r="299" spans="1:10" x14ac:dyDescent="0.25">
      <c r="A299">
        <v>2020</v>
      </c>
      <c r="B299" t="s">
        <v>7</v>
      </c>
      <c r="C299" t="s">
        <v>19</v>
      </c>
      <c r="D299">
        <v>1115</v>
      </c>
      <c r="E299">
        <v>582030</v>
      </c>
      <c r="F299">
        <v>353312</v>
      </c>
      <c r="G299" t="s">
        <v>9</v>
      </c>
      <c r="H299">
        <v>228718</v>
      </c>
      <c r="I299">
        <v>522</v>
      </c>
      <c r="J299">
        <v>316.87169999999998</v>
      </c>
    </row>
    <row r="300" spans="1:10" x14ac:dyDescent="0.25">
      <c r="A300">
        <v>2021</v>
      </c>
      <c r="B300" t="s">
        <v>17</v>
      </c>
      <c r="C300" t="s">
        <v>18</v>
      </c>
      <c r="D300">
        <v>396</v>
      </c>
      <c r="E300">
        <v>271656</v>
      </c>
      <c r="F300">
        <v>192680</v>
      </c>
      <c r="G300" t="s">
        <v>15</v>
      </c>
      <c r="H300">
        <v>78976</v>
      </c>
      <c r="I300">
        <v>686</v>
      </c>
      <c r="J300">
        <v>486.56569999999999</v>
      </c>
    </row>
    <row r="301" spans="1:10" x14ac:dyDescent="0.25">
      <c r="A301">
        <v>2018</v>
      </c>
      <c r="B301" t="s">
        <v>12</v>
      </c>
      <c r="C301" t="s">
        <v>19</v>
      </c>
      <c r="D301">
        <v>1522</v>
      </c>
      <c r="E301">
        <v>951250</v>
      </c>
      <c r="F301">
        <v>598402</v>
      </c>
      <c r="G301" t="s">
        <v>15</v>
      </c>
      <c r="H301">
        <v>352848</v>
      </c>
      <c r="I301">
        <v>625</v>
      </c>
      <c r="J301">
        <v>393.16820000000001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12BBF-5D55-407A-9A3B-223B34A7FDCB}">
  <dimension ref="A3:M13"/>
  <sheetViews>
    <sheetView topLeftCell="C1" workbookViewId="0">
      <selection activeCell="F3" sqref="F3"/>
    </sheetView>
  </sheetViews>
  <sheetFormatPr defaultRowHeight="15" x14ac:dyDescent="0.25"/>
  <cols>
    <col min="1" max="1" width="13.140625" bestFit="1" customWidth="1"/>
    <col min="2" max="2" width="20.7109375" bestFit="1" customWidth="1"/>
    <col min="3" max="3" width="24.5703125" bestFit="1" customWidth="1"/>
    <col min="4" max="4" width="13.140625" bestFit="1" customWidth="1"/>
    <col min="5" max="5" width="25.85546875" bestFit="1" customWidth="1"/>
    <col min="6" max="6" width="21.85546875" bestFit="1" customWidth="1"/>
    <col min="7" max="7" width="13.140625" bestFit="1" customWidth="1"/>
    <col min="8" max="8" width="11.5703125" bestFit="1" customWidth="1"/>
    <col min="9" max="9" width="13.140625" bestFit="1" customWidth="1"/>
    <col min="10" max="10" width="20.7109375" bestFit="1" customWidth="1"/>
    <col min="11" max="11" width="21.85546875" bestFit="1" customWidth="1"/>
    <col min="12" max="12" width="13.140625" bestFit="1" customWidth="1"/>
    <col min="13" max="13" width="17.42578125" bestFit="1" customWidth="1"/>
  </cols>
  <sheetData>
    <row r="3" spans="1:13" x14ac:dyDescent="0.25">
      <c r="A3" s="2" t="s">
        <v>32</v>
      </c>
      <c r="B3" t="s">
        <v>28</v>
      </c>
      <c r="D3" s="2" t="s">
        <v>32</v>
      </c>
      <c r="E3" t="s">
        <v>30</v>
      </c>
      <c r="F3" t="s">
        <v>31</v>
      </c>
      <c r="G3" s="2" t="s">
        <v>32</v>
      </c>
      <c r="I3" s="2" t="s">
        <v>32</v>
      </c>
      <c r="J3" t="s">
        <v>28</v>
      </c>
      <c r="L3" s="2" t="s">
        <v>32</v>
      </c>
      <c r="M3" t="s">
        <v>29</v>
      </c>
    </row>
    <row r="4" spans="1:13" x14ac:dyDescent="0.25">
      <c r="A4" s="5" t="s">
        <v>11</v>
      </c>
      <c r="B4" s="3">
        <v>32904</v>
      </c>
      <c r="D4" s="5" t="s">
        <v>12</v>
      </c>
      <c r="E4" s="4">
        <v>543.05999999999995</v>
      </c>
      <c r="F4" s="4">
        <v>384.60974800000002</v>
      </c>
      <c r="G4" s="5" t="s">
        <v>12</v>
      </c>
      <c r="I4" s="5" t="s">
        <v>13</v>
      </c>
      <c r="J4" s="4">
        <v>90526</v>
      </c>
      <c r="L4" s="5" t="s">
        <v>12</v>
      </c>
      <c r="M4" s="4">
        <v>8698224</v>
      </c>
    </row>
    <row r="5" spans="1:13" x14ac:dyDescent="0.25">
      <c r="A5" s="5" t="s">
        <v>19</v>
      </c>
      <c r="B5" s="3">
        <v>47835</v>
      </c>
      <c r="D5" s="5" t="s">
        <v>17</v>
      </c>
      <c r="E5" s="4">
        <v>542.08695652173913</v>
      </c>
      <c r="F5" s="4">
        <v>376.78990434782605</v>
      </c>
      <c r="G5" s="5" t="s">
        <v>17</v>
      </c>
      <c r="I5" s="5" t="s">
        <v>9</v>
      </c>
      <c r="J5" s="4">
        <v>123916</v>
      </c>
      <c r="L5" s="5" t="s">
        <v>17</v>
      </c>
      <c r="M5" s="4">
        <v>9284278</v>
      </c>
    </row>
    <row r="6" spans="1:13" x14ac:dyDescent="0.25">
      <c r="A6" s="5" t="s">
        <v>18</v>
      </c>
      <c r="B6" s="3">
        <v>39468</v>
      </c>
      <c r="D6" s="5" t="s">
        <v>7</v>
      </c>
      <c r="E6" s="4">
        <v>562.52173913043475</v>
      </c>
      <c r="F6" s="4">
        <v>395.16096521739127</v>
      </c>
      <c r="G6" s="5" t="s">
        <v>7</v>
      </c>
      <c r="I6" s="5" t="s">
        <v>15</v>
      </c>
      <c r="J6" s="4">
        <v>117417</v>
      </c>
      <c r="L6" s="5" t="s">
        <v>7</v>
      </c>
      <c r="M6" s="4">
        <v>8833023</v>
      </c>
    </row>
    <row r="7" spans="1:13" x14ac:dyDescent="0.25">
      <c r="A7" s="5" t="s">
        <v>14</v>
      </c>
      <c r="B7" s="3">
        <v>38646</v>
      </c>
      <c r="D7" s="5" t="s">
        <v>22</v>
      </c>
      <c r="E7" s="4">
        <v>528.21739130434787</v>
      </c>
      <c r="F7" s="4">
        <v>372.03899565217392</v>
      </c>
      <c r="G7" s="5" t="s">
        <v>22</v>
      </c>
      <c r="I7" s="5" t="s">
        <v>33</v>
      </c>
      <c r="J7" s="4">
        <v>331859</v>
      </c>
      <c r="L7" s="5" t="s">
        <v>22</v>
      </c>
      <c r="M7" s="4">
        <v>7227328</v>
      </c>
    </row>
    <row r="8" spans="1:13" x14ac:dyDescent="0.25">
      <c r="A8" s="5" t="s">
        <v>24</v>
      </c>
      <c r="B8" s="3">
        <v>29896</v>
      </c>
      <c r="D8" s="5" t="s">
        <v>10</v>
      </c>
      <c r="E8" s="4">
        <v>550.80357142857144</v>
      </c>
      <c r="F8" s="4">
        <v>381.88919821428573</v>
      </c>
      <c r="G8" s="5" t="s">
        <v>10</v>
      </c>
      <c r="L8" s="5" t="s">
        <v>10</v>
      </c>
      <c r="M8" s="4">
        <v>10829269</v>
      </c>
    </row>
    <row r="9" spans="1:13" x14ac:dyDescent="0.25">
      <c r="A9" s="5" t="s">
        <v>23</v>
      </c>
      <c r="B9" s="3">
        <v>39764</v>
      </c>
      <c r="D9" s="5" t="s">
        <v>16</v>
      </c>
      <c r="E9" s="4">
        <v>557.60714285714289</v>
      </c>
      <c r="F9" s="4">
        <v>387.50871785714287</v>
      </c>
      <c r="G9" s="5" t="s">
        <v>16</v>
      </c>
      <c r="L9" s="5" t="s">
        <v>16</v>
      </c>
      <c r="M9" s="4">
        <v>9883313</v>
      </c>
    </row>
    <row r="10" spans="1:13" x14ac:dyDescent="0.25">
      <c r="A10" s="5" t="s">
        <v>21</v>
      </c>
      <c r="B10" s="3">
        <v>39986</v>
      </c>
      <c r="D10" s="5" t="s">
        <v>33</v>
      </c>
      <c r="E10" s="4">
        <v>547.78</v>
      </c>
      <c r="F10" s="4">
        <v>383.13434833333332</v>
      </c>
      <c r="G10" s="5" t="s">
        <v>33</v>
      </c>
      <c r="L10" s="5" t="s">
        <v>33</v>
      </c>
      <c r="M10" s="4">
        <v>54755435</v>
      </c>
    </row>
    <row r="11" spans="1:13" x14ac:dyDescent="0.25">
      <c r="A11" s="5" t="s">
        <v>20</v>
      </c>
      <c r="B11" s="3">
        <v>28923</v>
      </c>
    </row>
    <row r="12" spans="1:13" x14ac:dyDescent="0.25">
      <c r="A12" s="5" t="s">
        <v>8</v>
      </c>
      <c r="B12" s="3">
        <v>34437</v>
      </c>
    </row>
    <row r="13" spans="1:13" x14ac:dyDescent="0.25">
      <c r="A13" s="5" t="s">
        <v>33</v>
      </c>
      <c r="B13" s="3">
        <v>331859</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C8E5-86BE-4A73-832B-1D6F7314DD0D}">
  <dimension ref="H1:H17"/>
  <sheetViews>
    <sheetView showGridLines="0" tabSelected="1" workbookViewId="0">
      <selection activeCell="K19" sqref="K19"/>
    </sheetView>
  </sheetViews>
  <sheetFormatPr defaultRowHeight="15" x14ac:dyDescent="0.25"/>
  <cols>
    <col min="1" max="1" width="19.5703125" bestFit="1" customWidth="1"/>
    <col min="2" max="2" width="9" customWidth="1"/>
    <col min="3" max="3" width="27.5703125" customWidth="1"/>
    <col min="4" max="4" width="10" customWidth="1"/>
    <col min="5" max="5" width="23.28515625" bestFit="1" customWidth="1"/>
    <col min="6" max="6" width="8.85546875" customWidth="1"/>
    <col min="7" max="7" width="17.42578125" bestFit="1" customWidth="1"/>
    <col min="8" max="8" width="19.5703125" bestFit="1" customWidth="1"/>
    <col min="9" max="9" width="13.85546875" bestFit="1" customWidth="1"/>
    <col min="10" max="10" width="16.42578125" customWidth="1"/>
    <col min="11" max="11" width="23.85546875" bestFit="1" customWidth="1"/>
    <col min="13" max="13" width="17.42578125" bestFit="1" customWidth="1"/>
    <col min="14" max="14" width="19.85546875" bestFit="1" customWidth="1"/>
    <col min="17" max="17" width="25.85546875" bestFit="1" customWidth="1"/>
    <col min="21" max="21" width="21.85546875" bestFit="1" customWidth="1"/>
  </cols>
  <sheetData>
    <row r="1" spans="8:8" x14ac:dyDescent="0.25">
      <c r="H1" t="s">
        <v>35</v>
      </c>
    </row>
    <row r="2" spans="8:8" x14ac:dyDescent="0.25">
      <c r="H2" s="4">
        <v>181041217</v>
      </c>
    </row>
    <row r="4" spans="8:8" x14ac:dyDescent="0.25">
      <c r="H4" t="s">
        <v>36</v>
      </c>
    </row>
    <row r="5" spans="8:8" x14ac:dyDescent="0.25">
      <c r="H5" s="4">
        <v>126285782</v>
      </c>
    </row>
    <row r="7" spans="8:8" x14ac:dyDescent="0.25">
      <c r="H7" t="s">
        <v>34</v>
      </c>
    </row>
    <row r="8" spans="8:8" x14ac:dyDescent="0.25">
      <c r="H8" s="3">
        <v>331859</v>
      </c>
    </row>
    <row r="10" spans="8:8" x14ac:dyDescent="0.25">
      <c r="H10" t="s">
        <v>37</v>
      </c>
    </row>
    <row r="11" spans="8:8" x14ac:dyDescent="0.25">
      <c r="H11" s="4">
        <v>54755435</v>
      </c>
    </row>
    <row r="13" spans="8:8" x14ac:dyDescent="0.25">
      <c r="H13" t="s">
        <v>38</v>
      </c>
    </row>
    <row r="14" spans="8:8" x14ac:dyDescent="0.25">
      <c r="H14" s="4">
        <v>547.78</v>
      </c>
    </row>
    <row r="16" spans="8:8" x14ac:dyDescent="0.25">
      <c r="H16" t="s">
        <v>39</v>
      </c>
    </row>
    <row r="17" spans="8:8" x14ac:dyDescent="0.25">
      <c r="H17" s="4">
        <v>383.13434833333332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9BCE1FB-0121-4DD3-B5BA-0E89A0DA4C16}">
  <ds:schemaRefs/>
</ds:datastoreItem>
</file>

<file path=customXml/itemProps2.xml><?xml version="1.0" encoding="utf-8"?>
<ds:datastoreItem xmlns:ds="http://schemas.openxmlformats.org/officeDocument/2006/customXml" ds:itemID="{325F1326-9F6C-4C79-8644-E806FA49ABF8}">
  <ds:schemaRefs/>
</ds:datastoreItem>
</file>

<file path=customXml/itemProps3.xml><?xml version="1.0" encoding="utf-8"?>
<ds:datastoreItem xmlns:ds="http://schemas.openxmlformats.org/officeDocument/2006/customXml" ds:itemID="{A36BE0D0-14FC-4FA4-B9C2-D8A6F4FD55E5}">
  <ds:schemaRefs/>
</ds:datastoreItem>
</file>

<file path=customXml/itemProps4.xml><?xml version="1.0" encoding="utf-8"?>
<ds:datastoreItem xmlns:ds="http://schemas.openxmlformats.org/officeDocument/2006/customXml" ds:itemID="{E3886255-F639-4D86-B2DB-6A3C40795607}">
  <ds:schemaRefs/>
</ds:datastoreItem>
</file>

<file path=customXml/itemProps5.xml><?xml version="1.0" encoding="utf-8"?>
<ds:datastoreItem xmlns:ds="http://schemas.openxmlformats.org/officeDocument/2006/customXml" ds:itemID="{C13DED15-2B2A-43D0-98E5-52E9008A84EB}">
  <ds:schemaRefs/>
</ds:datastoreItem>
</file>

<file path=customXml/itemProps6.xml><?xml version="1.0" encoding="utf-8"?>
<ds:datastoreItem xmlns:ds="http://schemas.openxmlformats.org/officeDocument/2006/customXml" ds:itemID="{4CDD03F4-620B-4265-BC09-5CCB6F6C44D4}">
  <ds:schemaRefs/>
</ds:datastoreItem>
</file>

<file path=customXml/itemProps7.xml><?xml version="1.0" encoding="utf-8"?>
<ds:datastoreItem xmlns:ds="http://schemas.openxmlformats.org/officeDocument/2006/customXml" ds:itemID="{D409919D-300F-415D-9CE8-352C72918DF7}">
  <ds:schemaRefs/>
</ds:datastoreItem>
</file>

<file path=customXml/itemProps8.xml><?xml version="1.0" encoding="utf-8"?>
<ds:datastoreItem xmlns:ds="http://schemas.openxmlformats.org/officeDocument/2006/customXml" ds:itemID="{B040DB03-99D3-4CF4-A0DE-F902138C8507}">
  <ds:schemaRefs/>
</ds:datastoreItem>
</file>

<file path=customXml/itemProps9.xml><?xml version="1.0" encoding="utf-8"?>
<ds:datastoreItem xmlns:ds="http://schemas.openxmlformats.org/officeDocument/2006/customXml" ds:itemID="{240DE12B-2968-4615-BB04-A56386C3AD8B}">
  <ds:schemaRefs/>
</ds:datastoreItem>
</file>

<file path=customXml/itemProps10.xml><?xml version="1.0" encoding="utf-8"?>
<ds:datastoreItem xmlns:ds="http://schemas.openxmlformats.org/officeDocument/2006/customXml" ds:itemID="{02610E0A-99FD-401C-BBB0-56DA2A96C817}">
  <ds:schemaRefs/>
</ds:datastoreItem>
</file>

<file path=customXml/itemProps11.xml><?xml version="1.0" encoding="utf-8"?>
<ds:datastoreItem xmlns:ds="http://schemas.openxmlformats.org/officeDocument/2006/customXml" ds:itemID="{557B83A2-AC0E-4DA2-8C96-E3C99AB3D59F}">
  <ds:schemaRefs/>
</ds:datastoreItem>
</file>

<file path=customXml/itemProps12.xml><?xml version="1.0" encoding="utf-8"?>
<ds:datastoreItem xmlns:ds="http://schemas.openxmlformats.org/officeDocument/2006/customXml" ds:itemID="{2ED8D913-FEEA-464F-A6DA-B4F8B58682BE}">
  <ds:schemaRefs/>
</ds:datastoreItem>
</file>

<file path=customXml/itemProps13.xml><?xml version="1.0" encoding="utf-8"?>
<ds:datastoreItem xmlns:ds="http://schemas.openxmlformats.org/officeDocument/2006/customXml" ds:itemID="{15836F09-7DFB-46C2-85A4-747BD5C39493}">
  <ds:schemaRefs/>
</ds:datastoreItem>
</file>

<file path=customXml/itemProps14.xml><?xml version="1.0" encoding="utf-8"?>
<ds:datastoreItem xmlns:ds="http://schemas.openxmlformats.org/officeDocument/2006/customXml" ds:itemID="{435B6B2B-FE59-47A7-A952-1A093FEADF71}">
  <ds:schemaRefs>
    <ds:schemaRef ds:uri="http://schemas.microsoft.com/DataMashup"/>
  </ds:schemaRefs>
</ds:datastoreItem>
</file>

<file path=customXml/itemProps15.xml><?xml version="1.0" encoding="utf-8"?>
<ds:datastoreItem xmlns:ds="http://schemas.openxmlformats.org/officeDocument/2006/customXml" ds:itemID="{80A27A91-4F2F-4569-BEB7-1AAFCFDD5861}">
  <ds:schemaRefs/>
</ds:datastoreItem>
</file>

<file path=customXml/itemProps16.xml><?xml version="1.0" encoding="utf-8"?>
<ds:datastoreItem xmlns:ds="http://schemas.openxmlformats.org/officeDocument/2006/customXml" ds:itemID="{31C4DCCB-95CE-45C1-93E1-935A2110BAF7}">
  <ds:schemaRefs/>
</ds:datastoreItem>
</file>

<file path=customXml/itemProps17.xml><?xml version="1.0" encoding="utf-8"?>
<ds:datastoreItem xmlns:ds="http://schemas.openxmlformats.org/officeDocument/2006/customXml" ds:itemID="{2477B1F3-CC60-4716-9F6C-5440A68CAB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Agricultural_Exports data</vt:lpstr>
      <vt:lpstr>cleaning data</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ayat badawy</cp:lastModifiedBy>
  <dcterms:created xsi:type="dcterms:W3CDTF">2025-12-03T10:18:25Z</dcterms:created>
  <dcterms:modified xsi:type="dcterms:W3CDTF">2025-12-16T19:58:03Z</dcterms:modified>
</cp:coreProperties>
</file>